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USEI EVAL\SGPP_Solucion\Docs\"/>
    </mc:Choice>
  </mc:AlternateContent>
  <xr:revisionPtr revIDLastSave="0" documentId="13_ncr:1_{03089D7F-0F36-4947-B2CB-A9EC16B613B4}" xr6:coauthVersionLast="47" xr6:coauthVersionMax="47" xr10:uidLastSave="{00000000-0000-0000-0000-000000000000}"/>
  <workbookProtection workbookAlgorithmName="SHA-512" workbookHashValue="vNSdNT46oG8cSsldQw0BdYHghoeC+ILO59AzhV3mZu8GHFeFsacsKLwPwAYHTxLdx44sAm9xLwoK0t1PkLbksg==" workbookSaltValue="oO7QHKLqX2yJpPQ7G1WVng==" workbookSpinCount="100000" lockStructure="1"/>
  <bookViews>
    <workbookView xWindow="-120" yWindow="-120" windowWidth="20730" windowHeight="11160" xr2:uid="{00000000-000D-0000-FFFF-FFFF00000000}"/>
  </bookViews>
  <sheets>
    <sheet name="PlanSemestral" sheetId="1" r:id="rId1"/>
  </sheets>
  <definedNames>
    <definedName name="Año">PlanSemestral!$C$81:$C$89</definedName>
    <definedName name="Carga">PlanSemestral!$B$81:$B$82</definedName>
    <definedName name="Menú_de_horas">PlanSemestral!$A$79:$A$90</definedName>
    <definedName name="Menú_de_horas_3">PlanSemestral!$D$75:$D$78</definedName>
    <definedName name="Menú_de_inicio">PlanSemestral!$A$93:$A$107</definedName>
    <definedName name="Menú_fin">PlanSemestral!$B$93:$B$114</definedName>
    <definedName name="Menu_horas_2">PlanSemestral!#REF!</definedName>
    <definedName name="Nivel">PlanSemestral!$D$98:$D$101</definedName>
    <definedName name="Profesor_Asistente">PlanSemestral!$D$93:$D$95</definedName>
    <definedName name="Semestre">PlanSemestral!$B$85:$B$86</definedName>
  </definedNames>
  <calcPr calcId="191029"/>
  <extLst>
    <ext uri="GoogleSheetsCustomDataVersion2">
      <go:sheetsCustomData xmlns:go="http://customooxmlschemas.google.com/" r:id="rId5" roundtripDataChecksum="kOQtMQW2Kr08ZwJ/c4D0eaYSAsps3RRG5bNzY1/foF8="/>
    </ext>
  </extLst>
</workbook>
</file>

<file path=xl/calcChain.xml><?xml version="1.0" encoding="utf-8"?>
<calcChain xmlns="http://schemas.openxmlformats.org/spreadsheetml/2006/main">
  <c r="F44" i="1" l="1"/>
  <c r="F45" i="1"/>
  <c r="F46" i="1"/>
  <c r="K17" i="1"/>
  <c r="C41" i="1"/>
  <c r="C32" i="1"/>
  <c r="C24" i="1"/>
  <c r="F47" i="1" l="1"/>
</calcChain>
</file>

<file path=xl/sharedStrings.xml><?xml version="1.0" encoding="utf-8"?>
<sst xmlns="http://schemas.openxmlformats.org/spreadsheetml/2006/main" count="139" uniqueCount="125">
  <si>
    <t>PRÁCTICA PRE PROFESIONAL</t>
  </si>
  <si>
    <t>Centro de Práctica:</t>
  </si>
  <si>
    <t xml:space="preserve">Tutor Institucional: </t>
  </si>
  <si>
    <t>Área asignada:</t>
  </si>
  <si>
    <t>Semestre:</t>
  </si>
  <si>
    <t>Año:</t>
  </si>
  <si>
    <t>Horas trabajadas:</t>
  </si>
  <si>
    <t>Fecha Inicio:</t>
  </si>
  <si>
    <t>Fecha Fin:</t>
  </si>
  <si>
    <t>Fecha Evaluación:</t>
  </si>
  <si>
    <t>Calificación</t>
  </si>
  <si>
    <t>Justificación</t>
  </si>
  <si>
    <t>TOTAL CALIFICACIÓN</t>
  </si>
  <si>
    <t>TOTAL EVALUACIÓN</t>
  </si>
  <si>
    <t>CENTRO DE PRÁCTICA</t>
  </si>
  <si>
    <t>Principales Fortalezas</t>
  </si>
  <si>
    <t>Principales Limitaciones</t>
  </si>
  <si>
    <t>RECOMENDACIONES</t>
  </si>
  <si>
    <t>Centro de Práctica</t>
  </si>
  <si>
    <t>Firma Profesional en formación</t>
  </si>
  <si>
    <t>Administración de Empresas</t>
  </si>
  <si>
    <t>Menú de horas 3</t>
  </si>
  <si>
    <t>Administración Turística</t>
  </si>
  <si>
    <t>Arquitectura</t>
  </si>
  <si>
    <t>Arquitectura de Interiores</t>
  </si>
  <si>
    <t>Ciencias Políticas</t>
  </si>
  <si>
    <t>Menú de horas</t>
  </si>
  <si>
    <t>Comunicación Social</t>
  </si>
  <si>
    <t>Contaduría Pública</t>
  </si>
  <si>
    <t>Carga horaria</t>
  </si>
  <si>
    <t>AÑO</t>
  </si>
  <si>
    <t>Derecho</t>
  </si>
  <si>
    <t>Tiempo completo</t>
  </si>
  <si>
    <t>TC</t>
  </si>
  <si>
    <t>Diseño Gráfico</t>
  </si>
  <si>
    <t>Medio tiempo</t>
  </si>
  <si>
    <t>Diseño Digital</t>
  </si>
  <si>
    <t>MT</t>
  </si>
  <si>
    <t>Economía</t>
  </si>
  <si>
    <t>SEMESTRE</t>
  </si>
  <si>
    <t>Economía e Inteligencia de Negocios</t>
  </si>
  <si>
    <t>Ingeniería Ambiental</t>
  </si>
  <si>
    <t>Ingeniería Biomédica</t>
  </si>
  <si>
    <t>Ingeniería Bioquímica y de Bioprocesos</t>
  </si>
  <si>
    <t>Ingeniería Civil</t>
  </si>
  <si>
    <t>Ingeniería Comercial</t>
  </si>
  <si>
    <t>Ingeniería de Sistemas</t>
  </si>
  <si>
    <t>Ingeniería en Telecomunicaciones</t>
  </si>
  <si>
    <t>Menú de inicio</t>
  </si>
  <si>
    <t>Menú fin</t>
  </si>
  <si>
    <t>Día</t>
  </si>
  <si>
    <t>Categoría</t>
  </si>
  <si>
    <t>Asignación</t>
  </si>
  <si>
    <t>Ingeniería en Innovación Empresarial</t>
  </si>
  <si>
    <t>Lunes</t>
  </si>
  <si>
    <t>Profesor Asistente</t>
  </si>
  <si>
    <t>Docente dedicado a la docencia</t>
  </si>
  <si>
    <t>Ingeniería Industrial</t>
  </si>
  <si>
    <t>Martes</t>
  </si>
  <si>
    <t>Profesor Asociado</t>
  </si>
  <si>
    <t>Docente dedicado a la gestión académica</t>
  </si>
  <si>
    <t>Ingeniería Mecatrónica</t>
  </si>
  <si>
    <t>Miércoles</t>
  </si>
  <si>
    <t>Profesor</t>
  </si>
  <si>
    <t>Docente dedicado a la investigación</t>
  </si>
  <si>
    <t>Ingeniería Química</t>
  </si>
  <si>
    <t>Jueves</t>
  </si>
  <si>
    <t>No categorizado</t>
  </si>
  <si>
    <t>Marketing y Medios Digitales</t>
  </si>
  <si>
    <t>Viernes</t>
  </si>
  <si>
    <t>Nivel</t>
  </si>
  <si>
    <t>Psicología</t>
  </si>
  <si>
    <t>A</t>
  </si>
  <si>
    <t>Psicopedagogía</t>
  </si>
  <si>
    <t>B</t>
  </si>
  <si>
    <t>C</t>
  </si>
  <si>
    <t>D</t>
  </si>
  <si>
    <t>Menú capacitación</t>
  </si>
  <si>
    <t>Programa(s) de formación pedagógica</t>
  </si>
  <si>
    <t>Programa(s) de formación disciplinar</t>
  </si>
  <si>
    <t>CANTIDAD DE HORAS</t>
  </si>
  <si>
    <t>DIAS</t>
  </si>
  <si>
    <t>SEMANA</t>
  </si>
  <si>
    <t>VALORACIÓN</t>
  </si>
  <si>
    <t>Excelente</t>
  </si>
  <si>
    <t>CALIFICACIÓN</t>
  </si>
  <si>
    <t>Muy bueno</t>
  </si>
  <si>
    <t>Bueno</t>
  </si>
  <si>
    <t>Mínimo Suficiente</t>
  </si>
  <si>
    <t>Deficiente</t>
  </si>
  <si>
    <t>Observaciones / Tutor(a) institucional</t>
  </si>
  <si>
    <t>TUTOR(A) INSTITUCIONAL</t>
  </si>
  <si>
    <t>Tutor(a) Institucional</t>
  </si>
  <si>
    <t>(V 3.0/2025)</t>
  </si>
  <si>
    <t>FORMULARIO DE EVALUACIÓN A LOS CENTROS DE PRÁCTICA*</t>
  </si>
  <si>
    <t>Observaciones</t>
  </si>
  <si>
    <t>4. Las relaciones laborales con los compañeros de trabajo fueron agradables.</t>
  </si>
  <si>
    <t>5. La cultura organizacional del centro de práctica apoya el crecimiento de su personal.</t>
  </si>
  <si>
    <t>6. Las actividades que realizaste en el centro de práctica fueron relevantes para tu formación académica.</t>
  </si>
  <si>
    <t>7. El centro de práctica ofreció oportunidades adicionales para tu desarrollo profesional (capacitaciones, talleres, similares).</t>
  </si>
  <si>
    <t>8. El centro de práctica cumplió con tus expectativas iniciales.</t>
  </si>
  <si>
    <t>Total Centro de Práctica</t>
  </si>
  <si>
    <t>1. El centro de prácticas te proporcionó un espacio físico para desarrollar tus actividades.</t>
  </si>
  <si>
    <t>2. Contabas con equipo computacional y/o recursos tecnológicos adecuados para tu trabajo.</t>
  </si>
  <si>
    <t>3. El ambiente laboral fue positivo con relación al trato recibido por el supervisor (Tutor institucional).</t>
  </si>
  <si>
    <t>Total Tutor Institucional</t>
  </si>
  <si>
    <t>Tutor Académico</t>
  </si>
  <si>
    <t>15. El profesor de la asignatura (Tutor(a) académico(a)) te ofreció posibles centros de práctica acordes a tus intereses profesionales.</t>
  </si>
  <si>
    <t>16. Consideras que la orientación del profesor de la asignatura (Tutor(a) académico(a)) te ayudó a encontrar una práctica adecuada.</t>
  </si>
  <si>
    <t>EVALUACIÓN FINAL</t>
  </si>
  <si>
    <t>EVALUACIÓN 1: AL CENTRO DE PRÁCTICA</t>
  </si>
  <si>
    <t>EVALUACIÓN 2: AL TUTOR INSTITUCIONAL</t>
  </si>
  <si>
    <t>EVALUACIÓN 3: AL TUTOR ACADÉMICO</t>
  </si>
  <si>
    <t>Total Tutor Académico</t>
  </si>
  <si>
    <t>9. Se reconoce espacios de crecimiento profesional (puesto laboral) adicionales a las prácticas pre-profesionales.</t>
  </si>
  <si>
    <r>
      <rPr>
        <b/>
        <sz val="10"/>
        <color rgb="FF000000"/>
        <rFont val="Calibri"/>
        <family val="2"/>
      </rPr>
      <t xml:space="preserve">* ESTE FORMULARIO DEBE SER LLENADO DE </t>
    </r>
    <r>
      <rPr>
        <b/>
        <u/>
        <sz val="10"/>
        <color rgb="FF000000"/>
        <rFont val="Calibri"/>
        <family val="2"/>
      </rPr>
      <t>FORMA EXCLUSIVA POR EL ESTUDIANTE INSCRITO EN LA ASIGNATURA</t>
    </r>
    <r>
      <rPr>
        <b/>
        <sz val="10"/>
        <color rgb="FF000000"/>
        <rFont val="Calibri"/>
        <family val="2"/>
      </rPr>
      <t xml:space="preserve">.   La información brindada ayudará a la U.C.B.  a mejorar sus procesos académicos.                                                                                                 </t>
    </r>
    <r>
      <rPr>
        <sz val="10"/>
        <color rgb="FF000000"/>
        <rFont val="Calibri"/>
        <family val="2"/>
      </rPr>
      <t xml:space="preserve">                          Lea cuidadosamente cada criterio y ponga y calificación del 1 al 4 de acuerdo a: 
- 4 es Totalmente Satisfecho
- 3 es Satisfecho
- 2 es Insatisfecho
- 1  es Muy Insatisfecho</t>
    </r>
  </si>
  <si>
    <t>10. Recibiste la información necesaria para el desarrollo de las tareas asignadas.</t>
  </si>
  <si>
    <t>11. Recibiste un seguimiento adecuado por parte de tu supervisor (Tutor(a) institucional) en el centro de práctica.</t>
  </si>
  <si>
    <t>12. Se realizaron evaluaciones claras y secuenciales con relación a las tareas asignadas.</t>
  </si>
  <si>
    <t>13. Tuviste una retroalimentación clara y constructiva sobre el desempeño en el centro de práctica.</t>
  </si>
  <si>
    <t>14. Consideras que las tareas asignadas en el centro de práctica estuvieron relacionadas con tu carrera.</t>
  </si>
  <si>
    <t>17.  El/la tutor(a) académico(a) daba explicaciones claras en las sesiones teóricas de la asignatura.</t>
  </si>
  <si>
    <t>18. Existen horarios accesibles para consultas con el/la tutor(a) académico(a).</t>
  </si>
  <si>
    <t>19. El/la Tutor(a) académico(a) apoyo a resolver dudas sobre las tareas asignadas en el centro de práctica.</t>
  </si>
  <si>
    <t>20. El/la tutor(a) académico(a) te proporcionó retroalimentación útil durante tu experiencia de práctica.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</si>
</sst>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9" x14ac:knownFonts="1">
    <font>
      <sz val="11"/>
      <color theme="1"/>
      <name val="Calibri"/>
      <scheme val="minor"/>
    </font>
    <font>
      <b/>
      <sz val="13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i/>
      <sz val="9"/>
      <color rgb="FFFF0000"/>
      <name val="Calibri"/>
      <family val="2"/>
    </font>
    <font>
      <sz val="11"/>
      <color theme="0"/>
      <name val="Calibri"/>
      <family val="2"/>
      <scheme val="minor"/>
    </font>
    <font>
      <b/>
      <u/>
      <sz val="10"/>
      <color rgb="FF000000"/>
      <name val="Calibri"/>
      <family val="2"/>
    </font>
    <font>
      <sz val="10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horizontal="center" vertical="center"/>
    </xf>
    <xf numFmtId="0" fontId="5" fillId="0" borderId="4" xfId="0" applyFont="1" applyBorder="1"/>
    <xf numFmtId="0" fontId="6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164" fontId="8" fillId="0" borderId="16" xfId="0" applyNumberFormat="1" applyFont="1" applyBorder="1" applyAlignment="1">
      <alignment horizontal="right" vertical="top"/>
    </xf>
    <xf numFmtId="0" fontId="8" fillId="0" borderId="17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164" fontId="8" fillId="0" borderId="19" xfId="0" applyNumberFormat="1" applyFont="1" applyBorder="1" applyAlignment="1">
      <alignment horizontal="right" vertical="top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164" fontId="8" fillId="0" borderId="18" xfId="0" applyNumberFormat="1" applyFont="1" applyBorder="1" applyAlignment="1">
      <alignment horizontal="right" vertical="top"/>
    </xf>
    <xf numFmtId="0" fontId="6" fillId="0" borderId="2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vertical="center" wrapText="1"/>
    </xf>
    <xf numFmtId="0" fontId="5" fillId="0" borderId="28" xfId="0" applyFont="1" applyBorder="1" applyAlignment="1">
      <alignment horizontal="center" vertical="center"/>
    </xf>
    <xf numFmtId="9" fontId="3" fillId="0" borderId="0" xfId="0" applyNumberFormat="1" applyFont="1"/>
    <xf numFmtId="0" fontId="10" fillId="0" borderId="11" xfId="0" applyFont="1" applyBorder="1" applyAlignment="1">
      <alignment vertical="center"/>
    </xf>
    <xf numFmtId="164" fontId="3" fillId="0" borderId="9" xfId="0" applyNumberFormat="1" applyFont="1" applyBorder="1" applyAlignment="1">
      <alignment vertical="top"/>
    </xf>
    <xf numFmtId="1" fontId="3" fillId="0" borderId="22" xfId="0" applyNumberFormat="1" applyFont="1" applyBorder="1" applyAlignment="1">
      <alignment vertical="top"/>
    </xf>
    <xf numFmtId="1" fontId="5" fillId="0" borderId="23" xfId="0" applyNumberFormat="1" applyFont="1" applyBorder="1" applyAlignment="1">
      <alignment vertical="center"/>
    </xf>
    <xf numFmtId="0" fontId="11" fillId="0" borderId="0" xfId="0" applyFont="1"/>
    <xf numFmtId="0" fontId="7" fillId="0" borderId="2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left" vertical="top" wrapText="1"/>
    </xf>
    <xf numFmtId="0" fontId="14" fillId="0" borderId="0" xfId="0" applyFont="1"/>
    <xf numFmtId="49" fontId="5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2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6" fillId="0" borderId="0" xfId="0" applyFont="1"/>
    <xf numFmtId="2" fontId="14" fillId="0" borderId="0" xfId="0" applyNumberFormat="1" applyFont="1"/>
    <xf numFmtId="20" fontId="14" fillId="0" borderId="0" xfId="0" applyNumberFormat="1" applyFont="1"/>
    <xf numFmtId="164" fontId="14" fillId="0" borderId="0" xfId="0" applyNumberFormat="1" applyFont="1" applyAlignment="1">
      <alignment horizontal="right" vertical="top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2" fillId="0" borderId="10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9" xfId="0" applyFont="1" applyBorder="1"/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3" xfId="0" applyFont="1" applyBorder="1"/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5" fillId="0" borderId="0" xfId="0" applyFont="1" applyAlignment="1">
      <alignment horizontal="center" vertical="top" wrapText="1"/>
    </xf>
    <xf numFmtId="0" fontId="0" fillId="0" borderId="0" xfId="0"/>
    <xf numFmtId="49" fontId="3" fillId="0" borderId="9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2" fillId="0" borderId="15" xfId="0" applyFont="1" applyBorder="1"/>
    <xf numFmtId="0" fontId="2" fillId="0" borderId="16" xfId="0" applyFont="1" applyBorder="1"/>
    <xf numFmtId="0" fontId="6" fillId="0" borderId="20" xfId="0" applyFont="1" applyBorder="1" applyAlignment="1">
      <alignment horizontal="center" vertical="center" wrapText="1"/>
    </xf>
    <xf numFmtId="0" fontId="2" fillId="0" borderId="8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914400</xdr:colOff>
      <xdr:row>0</xdr:row>
      <xdr:rowOff>28575</xdr:rowOff>
    </xdr:from>
    <xdr:ext cx="2543175" cy="11525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showGridLines="0" tabSelected="1" topLeftCell="A37" zoomScale="85" zoomScaleNormal="85" workbookViewId="0">
      <selection activeCell="K39" sqref="K39"/>
    </sheetView>
  </sheetViews>
  <sheetFormatPr defaultColWidth="14.42578125" defaultRowHeight="15" customHeight="1" x14ac:dyDescent="0.25"/>
  <cols>
    <col min="1" max="1" width="17.5703125" customWidth="1"/>
    <col min="2" max="2" width="16.140625" customWidth="1"/>
    <col min="3" max="3" width="14" customWidth="1"/>
    <col min="4" max="4" width="16.28515625" customWidth="1"/>
    <col min="5" max="5" width="16.140625" customWidth="1"/>
    <col min="6" max="6" width="20.42578125" customWidth="1"/>
    <col min="7" max="26" width="10.7109375" customWidth="1"/>
  </cols>
  <sheetData>
    <row r="1" spans="1:26" ht="69.75" customHeight="1" x14ac:dyDescent="0.25">
      <c r="A1" s="91"/>
      <c r="B1" s="84"/>
      <c r="C1" s="84"/>
      <c r="D1" s="84"/>
      <c r="E1" s="84"/>
      <c r="F1" s="84"/>
    </row>
    <row r="2" spans="1:26" ht="25.5" customHeight="1" x14ac:dyDescent="0.25">
      <c r="A2" s="92"/>
      <c r="B2" s="84"/>
      <c r="C2" s="84"/>
      <c r="D2" s="84"/>
      <c r="E2" s="84"/>
      <c r="F2" s="84"/>
    </row>
    <row r="3" spans="1:26" ht="22.5" customHeight="1" x14ac:dyDescent="0.25">
      <c r="A3" s="93" t="s">
        <v>94</v>
      </c>
      <c r="B3" s="82"/>
      <c r="C3" s="82"/>
      <c r="D3" s="82"/>
      <c r="E3" s="82"/>
      <c r="F3" s="82"/>
    </row>
    <row r="4" spans="1:26" ht="22.5" customHeight="1" x14ac:dyDescent="0.25">
      <c r="A4" s="94" t="s">
        <v>0</v>
      </c>
      <c r="B4" s="95"/>
      <c r="C4" s="95"/>
      <c r="D4" s="95"/>
      <c r="E4" s="95"/>
      <c r="F4" s="9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"/>
      <c r="B5" s="2"/>
      <c r="C5" s="2"/>
      <c r="D5" s="2"/>
      <c r="E5" s="2"/>
      <c r="F5" s="3" t="s">
        <v>93</v>
      </c>
    </row>
    <row r="6" spans="1:26" ht="14.25" customHeight="1" x14ac:dyDescent="0.25">
      <c r="A6" s="4" t="s">
        <v>1</v>
      </c>
      <c r="B6" s="96"/>
      <c r="C6" s="75"/>
      <c r="D6" s="75"/>
      <c r="E6" s="75"/>
      <c r="F6" s="76"/>
    </row>
    <row r="7" spans="1:26" ht="14.25" customHeight="1" x14ac:dyDescent="0.25">
      <c r="A7" s="5" t="s">
        <v>2</v>
      </c>
      <c r="B7" s="6"/>
      <c r="C7" s="6"/>
      <c r="D7" s="6"/>
      <c r="E7" s="6"/>
      <c r="F7" s="7"/>
    </row>
    <row r="8" spans="1:26" x14ac:dyDescent="0.25">
      <c r="A8" s="5" t="s">
        <v>3</v>
      </c>
      <c r="B8" s="85"/>
      <c r="C8" s="77"/>
      <c r="D8" s="77"/>
      <c r="E8" s="77"/>
      <c r="F8" s="69"/>
    </row>
    <row r="9" spans="1:26" x14ac:dyDescent="0.25">
      <c r="A9" s="8" t="s">
        <v>4</v>
      </c>
      <c r="B9" s="9"/>
      <c r="C9" s="10" t="s">
        <v>5</v>
      </c>
      <c r="D9" s="57"/>
      <c r="E9" s="56" t="s">
        <v>6</v>
      </c>
      <c r="F9" s="1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2" t="s">
        <v>7</v>
      </c>
      <c r="B10" s="13"/>
      <c r="C10" s="14" t="s">
        <v>8</v>
      </c>
      <c r="D10" s="15"/>
      <c r="E10" s="14" t="s">
        <v>9</v>
      </c>
      <c r="F10" s="1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.5" customHeight="1" x14ac:dyDescent="0.25">
      <c r="A11" s="17"/>
      <c r="B11" s="18"/>
      <c r="C11" s="18"/>
      <c r="D11" s="18"/>
      <c r="E11" s="18"/>
      <c r="F11" s="19"/>
    </row>
    <row r="12" spans="1:26" ht="98.25" customHeight="1" x14ac:dyDescent="0.25">
      <c r="A12" s="86" t="s">
        <v>115</v>
      </c>
      <c r="B12" s="87"/>
      <c r="C12" s="87"/>
      <c r="D12" s="87"/>
      <c r="E12" s="87"/>
      <c r="F12" s="88"/>
    </row>
    <row r="13" spans="1:26" ht="7.5" customHeight="1" x14ac:dyDescent="0.25">
      <c r="A13" s="20"/>
      <c r="B13" s="21"/>
      <c r="C13" s="21"/>
      <c r="D13" s="21"/>
      <c r="E13" s="21"/>
      <c r="F13" s="22"/>
    </row>
    <row r="14" spans="1:26" x14ac:dyDescent="0.25">
      <c r="A14" s="89" t="s">
        <v>18</v>
      </c>
      <c r="B14" s="90"/>
      <c r="C14" s="24" t="s">
        <v>10</v>
      </c>
      <c r="D14" s="74" t="s">
        <v>11</v>
      </c>
      <c r="E14" s="76"/>
      <c r="F14" s="51" t="s">
        <v>95</v>
      </c>
    </row>
    <row r="15" spans="1:26" ht="42" customHeight="1" x14ac:dyDescent="0.25">
      <c r="A15" s="68" t="s">
        <v>102</v>
      </c>
      <c r="B15" s="69"/>
      <c r="C15" s="25">
        <v>4</v>
      </c>
      <c r="D15" s="70"/>
      <c r="E15" s="69"/>
      <c r="F15" s="26"/>
    </row>
    <row r="16" spans="1:26" ht="42" customHeight="1" x14ac:dyDescent="0.25">
      <c r="A16" s="68" t="s">
        <v>103</v>
      </c>
      <c r="B16" s="69"/>
      <c r="C16" s="25">
        <v>4</v>
      </c>
      <c r="D16" s="70"/>
      <c r="E16" s="69"/>
      <c r="F16" s="26"/>
    </row>
    <row r="17" spans="1:11" ht="39.75" customHeight="1" x14ac:dyDescent="0.25">
      <c r="A17" s="68" t="s">
        <v>104</v>
      </c>
      <c r="B17" s="69"/>
      <c r="C17" s="25">
        <v>4</v>
      </c>
      <c r="D17" s="70"/>
      <c r="E17" s="69"/>
      <c r="F17" s="26"/>
      <c r="K17">
        <f>100/4</f>
        <v>25</v>
      </c>
    </row>
    <row r="18" spans="1:11" ht="40.5" customHeight="1" x14ac:dyDescent="0.25">
      <c r="A18" s="68" t="s">
        <v>96</v>
      </c>
      <c r="B18" s="69"/>
      <c r="C18" s="25">
        <v>4</v>
      </c>
      <c r="D18" s="70"/>
      <c r="E18" s="69"/>
      <c r="F18" s="26"/>
    </row>
    <row r="19" spans="1:11" ht="39" customHeight="1" x14ac:dyDescent="0.25">
      <c r="A19" s="68" t="s">
        <v>97</v>
      </c>
      <c r="B19" s="69"/>
      <c r="C19" s="25">
        <v>4</v>
      </c>
      <c r="D19" s="70"/>
      <c r="E19" s="69"/>
      <c r="F19" s="26"/>
    </row>
    <row r="20" spans="1:11" ht="42.75" customHeight="1" x14ac:dyDescent="0.25">
      <c r="A20" s="68" t="s">
        <v>98</v>
      </c>
      <c r="B20" s="69"/>
      <c r="C20" s="25">
        <v>4</v>
      </c>
      <c r="D20" s="70"/>
      <c r="E20" s="69"/>
      <c r="F20" s="26"/>
    </row>
    <row r="21" spans="1:11" ht="54" customHeight="1" x14ac:dyDescent="0.25">
      <c r="A21" s="68" t="s">
        <v>99</v>
      </c>
      <c r="B21" s="69"/>
      <c r="C21" s="25">
        <v>4</v>
      </c>
      <c r="D21" s="70"/>
      <c r="E21" s="69"/>
      <c r="F21" s="26"/>
    </row>
    <row r="22" spans="1:11" ht="27.75" customHeight="1" x14ac:dyDescent="0.25">
      <c r="A22" s="68" t="s">
        <v>100</v>
      </c>
      <c r="B22" s="69"/>
      <c r="C22" s="25">
        <v>4</v>
      </c>
      <c r="D22" s="70"/>
      <c r="E22" s="69"/>
      <c r="F22" s="26"/>
    </row>
    <row r="23" spans="1:11" ht="38.25" customHeight="1" x14ac:dyDescent="0.25">
      <c r="A23" s="68" t="s">
        <v>114</v>
      </c>
      <c r="B23" s="69"/>
      <c r="C23" s="25">
        <v>4</v>
      </c>
      <c r="D23" s="70"/>
      <c r="E23" s="69"/>
      <c r="F23" s="26"/>
    </row>
    <row r="24" spans="1:11" ht="15.75" customHeight="1" x14ac:dyDescent="0.25">
      <c r="A24" s="71" t="s">
        <v>101</v>
      </c>
      <c r="B24" s="80"/>
      <c r="C24" s="27">
        <f>SUM(C15:C23)</f>
        <v>36</v>
      </c>
      <c r="D24" s="71"/>
      <c r="E24" s="72"/>
      <c r="F24" s="28"/>
    </row>
    <row r="25" spans="1:11" ht="8.25" customHeight="1" x14ac:dyDescent="0.25">
      <c r="A25" s="21"/>
      <c r="B25" s="21"/>
      <c r="C25" s="21"/>
      <c r="D25" s="21"/>
      <c r="E25" s="21"/>
      <c r="F25" s="29"/>
    </row>
    <row r="26" spans="1:11" ht="32.25" customHeight="1" x14ac:dyDescent="0.25">
      <c r="A26" s="70" t="s">
        <v>92</v>
      </c>
      <c r="B26" s="69"/>
      <c r="C26" s="30" t="s">
        <v>10</v>
      </c>
      <c r="D26" s="73" t="s">
        <v>11</v>
      </c>
      <c r="E26" s="69"/>
      <c r="F26" s="60" t="s">
        <v>95</v>
      </c>
    </row>
    <row r="27" spans="1:11" ht="42" customHeight="1" x14ac:dyDescent="0.25">
      <c r="A27" s="68" t="s">
        <v>116</v>
      </c>
      <c r="B27" s="69"/>
      <c r="C27" s="25">
        <v>4</v>
      </c>
      <c r="D27" s="70"/>
      <c r="E27" s="69"/>
      <c r="F27" s="26"/>
    </row>
    <row r="28" spans="1:11" ht="42" customHeight="1" x14ac:dyDescent="0.25">
      <c r="A28" s="68" t="s">
        <v>117</v>
      </c>
      <c r="B28" s="69"/>
      <c r="C28" s="25">
        <v>4</v>
      </c>
      <c r="D28" s="58"/>
      <c r="E28" s="59"/>
      <c r="F28" s="26"/>
    </row>
    <row r="29" spans="1:11" ht="39.75" customHeight="1" x14ac:dyDescent="0.25">
      <c r="A29" s="68" t="s">
        <v>118</v>
      </c>
      <c r="B29" s="69"/>
      <c r="C29" s="25">
        <v>4</v>
      </c>
      <c r="D29" s="70"/>
      <c r="E29" s="69"/>
      <c r="F29" s="26"/>
    </row>
    <row r="30" spans="1:11" ht="41.25" customHeight="1" x14ac:dyDescent="0.25">
      <c r="A30" s="68" t="s">
        <v>119</v>
      </c>
      <c r="B30" s="69"/>
      <c r="C30" s="25">
        <v>4</v>
      </c>
      <c r="D30" s="70"/>
      <c r="E30" s="69"/>
      <c r="F30" s="26"/>
    </row>
    <row r="31" spans="1:11" ht="41.25" customHeight="1" x14ac:dyDescent="0.25">
      <c r="A31" s="68" t="s">
        <v>120</v>
      </c>
      <c r="B31" s="69"/>
      <c r="C31" s="25">
        <v>4</v>
      </c>
      <c r="D31" s="58"/>
      <c r="E31" s="59"/>
      <c r="F31" s="26"/>
    </row>
    <row r="32" spans="1:11" ht="21.75" customHeight="1" x14ac:dyDescent="0.25">
      <c r="A32" s="71" t="s">
        <v>105</v>
      </c>
      <c r="B32" s="72"/>
      <c r="C32" s="27">
        <f>SUM(C27:C31)</f>
        <v>20</v>
      </c>
      <c r="D32" s="71"/>
      <c r="E32" s="72"/>
      <c r="F32" s="34"/>
    </row>
    <row r="33" spans="1:10" ht="11.25" customHeight="1" x14ac:dyDescent="0.25">
      <c r="A33" s="35"/>
      <c r="B33" s="36"/>
      <c r="C33" s="37"/>
      <c r="D33" s="36"/>
      <c r="E33" s="36"/>
      <c r="F33" s="38"/>
    </row>
    <row r="34" spans="1:10" ht="31.5" customHeight="1" x14ac:dyDescent="0.25">
      <c r="A34" s="70" t="s">
        <v>106</v>
      </c>
      <c r="B34" s="69"/>
      <c r="C34" s="30" t="s">
        <v>10</v>
      </c>
      <c r="D34" s="73" t="s">
        <v>11</v>
      </c>
      <c r="E34" s="69"/>
      <c r="F34" s="31" t="s">
        <v>90</v>
      </c>
    </row>
    <row r="35" spans="1:10" ht="54" customHeight="1" x14ac:dyDescent="0.25">
      <c r="A35" s="68" t="s">
        <v>107</v>
      </c>
      <c r="B35" s="69"/>
      <c r="C35" s="25">
        <v>4</v>
      </c>
      <c r="D35" s="70"/>
      <c r="E35" s="69"/>
      <c r="F35" s="26"/>
    </row>
    <row r="36" spans="1:10" ht="55.5" customHeight="1" x14ac:dyDescent="0.25">
      <c r="A36" s="68" t="s">
        <v>108</v>
      </c>
      <c r="B36" s="69"/>
      <c r="C36" s="25">
        <v>4</v>
      </c>
      <c r="D36" s="70"/>
      <c r="E36" s="69"/>
      <c r="F36" s="26"/>
    </row>
    <row r="37" spans="1:10" ht="40.5" customHeight="1" x14ac:dyDescent="0.25">
      <c r="A37" s="68" t="s">
        <v>121</v>
      </c>
      <c r="B37" s="69"/>
      <c r="C37" s="25">
        <v>4</v>
      </c>
      <c r="D37" s="70"/>
      <c r="E37" s="69"/>
      <c r="F37" s="26"/>
    </row>
    <row r="38" spans="1:10" ht="39" customHeight="1" x14ac:dyDescent="0.25">
      <c r="A38" s="68" t="s">
        <v>122</v>
      </c>
      <c r="B38" s="69"/>
      <c r="C38" s="25">
        <v>4</v>
      </c>
      <c r="D38" s="70"/>
      <c r="E38" s="69"/>
      <c r="F38" s="26"/>
    </row>
    <row r="39" spans="1:10" ht="39" customHeight="1" x14ac:dyDescent="0.25">
      <c r="A39" s="68" t="s">
        <v>123</v>
      </c>
      <c r="B39" s="69"/>
      <c r="C39" s="25">
        <v>4</v>
      </c>
      <c r="D39" s="70"/>
      <c r="E39" s="69"/>
      <c r="F39" s="26"/>
    </row>
    <row r="40" spans="1:10" ht="39.75" customHeight="1" x14ac:dyDescent="0.25">
      <c r="A40" s="68" t="s">
        <v>124</v>
      </c>
      <c r="B40" s="69"/>
      <c r="C40" s="25">
        <v>4</v>
      </c>
      <c r="D40" s="70"/>
      <c r="E40" s="69"/>
      <c r="F40" s="26"/>
    </row>
    <row r="41" spans="1:10" ht="24" customHeight="1" x14ac:dyDescent="0.25">
      <c r="A41" s="71" t="s">
        <v>113</v>
      </c>
      <c r="B41" s="72"/>
      <c r="C41" s="27">
        <f>SUM(C35:C40)</f>
        <v>24</v>
      </c>
      <c r="D41" s="71"/>
      <c r="E41" s="72"/>
      <c r="F41" s="34"/>
    </row>
    <row r="42" spans="1:10" ht="24" customHeight="1" x14ac:dyDescent="0.25">
      <c r="A42" s="39"/>
      <c r="B42" s="39"/>
      <c r="C42" s="39"/>
      <c r="D42" s="36"/>
      <c r="E42" s="36"/>
      <c r="F42" s="40"/>
    </row>
    <row r="43" spans="1:10" ht="15.75" customHeight="1" x14ac:dyDescent="0.25">
      <c r="A43" s="78" t="s">
        <v>109</v>
      </c>
      <c r="B43" s="75"/>
      <c r="C43" s="75"/>
      <c r="D43" s="75"/>
      <c r="E43" s="75"/>
      <c r="F43" s="41" t="s">
        <v>12</v>
      </c>
      <c r="G43" s="42"/>
    </row>
    <row r="44" spans="1:10" ht="15.75" customHeight="1" x14ac:dyDescent="0.25">
      <c r="A44" s="43" t="s">
        <v>110</v>
      </c>
      <c r="B44" s="44"/>
      <c r="C44" s="44"/>
      <c r="D44" s="44"/>
      <c r="E44" s="44"/>
      <c r="F44" s="45">
        <f>C24</f>
        <v>36</v>
      </c>
      <c r="G44" s="42"/>
    </row>
    <row r="45" spans="1:10" ht="15.75" customHeight="1" x14ac:dyDescent="0.25">
      <c r="A45" s="43" t="s">
        <v>111</v>
      </c>
      <c r="B45" s="44"/>
      <c r="C45" s="44"/>
      <c r="D45" s="44"/>
      <c r="E45" s="44"/>
      <c r="F45" s="45">
        <f>C32*2</f>
        <v>40</v>
      </c>
      <c r="G45" s="42"/>
    </row>
    <row r="46" spans="1:10" ht="15.75" customHeight="1" x14ac:dyDescent="0.25">
      <c r="A46" s="43" t="s">
        <v>112</v>
      </c>
      <c r="B46" s="44"/>
      <c r="C46" s="44"/>
      <c r="D46" s="44"/>
      <c r="E46" s="44"/>
      <c r="F46" s="45">
        <f>C41</f>
        <v>24</v>
      </c>
      <c r="G46" s="42"/>
    </row>
    <row r="47" spans="1:10" ht="15.75" customHeight="1" x14ac:dyDescent="0.25">
      <c r="A47" s="79" t="s">
        <v>13</v>
      </c>
      <c r="B47" s="80"/>
      <c r="C47" s="80"/>
      <c r="D47" s="80"/>
      <c r="E47" s="80"/>
      <c r="F47" s="46">
        <f>SUM(F44:F46)</f>
        <v>100</v>
      </c>
      <c r="G47" s="47"/>
      <c r="H47" s="1"/>
      <c r="I47" s="1"/>
      <c r="J47" s="1"/>
    </row>
    <row r="48" spans="1:10" ht="15.75" customHeight="1" x14ac:dyDescent="0.25">
      <c r="A48" s="48"/>
      <c r="B48" s="49"/>
      <c r="C48" s="39"/>
      <c r="D48" s="36"/>
      <c r="E48" s="36"/>
      <c r="F48" s="40"/>
    </row>
    <row r="49" spans="1:6" ht="25.5" customHeight="1" x14ac:dyDescent="0.25">
      <c r="A49" s="74" t="s">
        <v>14</v>
      </c>
      <c r="B49" s="75"/>
      <c r="C49" s="75"/>
      <c r="D49" s="75"/>
      <c r="E49" s="75"/>
      <c r="F49" s="76"/>
    </row>
    <row r="50" spans="1:6" ht="15.75" customHeight="1" x14ac:dyDescent="0.25">
      <c r="A50" s="70" t="s">
        <v>15</v>
      </c>
      <c r="B50" s="77"/>
      <c r="C50" s="69"/>
      <c r="D50" s="70" t="s">
        <v>16</v>
      </c>
      <c r="E50" s="77"/>
      <c r="F50" s="69"/>
    </row>
    <row r="51" spans="1:6" ht="15.75" customHeight="1" x14ac:dyDescent="0.25">
      <c r="A51" s="70"/>
      <c r="B51" s="77"/>
      <c r="C51" s="69"/>
      <c r="D51" s="70"/>
      <c r="E51" s="77"/>
      <c r="F51" s="69"/>
    </row>
    <row r="52" spans="1:6" ht="15.75" customHeight="1" x14ac:dyDescent="0.25">
      <c r="A52" s="70"/>
      <c r="B52" s="77"/>
      <c r="C52" s="69"/>
      <c r="D52" s="70"/>
      <c r="E52" s="77"/>
      <c r="F52" s="69"/>
    </row>
    <row r="53" spans="1:6" ht="15.75" customHeight="1" x14ac:dyDescent="0.25">
      <c r="A53" s="70"/>
      <c r="B53" s="77"/>
      <c r="C53" s="69"/>
      <c r="D53" s="70"/>
      <c r="E53" s="77"/>
      <c r="F53" s="69"/>
    </row>
    <row r="54" spans="1:6" ht="15.75" customHeight="1" x14ac:dyDescent="0.25">
      <c r="A54" s="71"/>
      <c r="B54" s="80"/>
      <c r="C54" s="72"/>
      <c r="D54" s="71"/>
      <c r="E54" s="80"/>
      <c r="F54" s="72"/>
    </row>
    <row r="55" spans="1:6" ht="15.75" customHeight="1" x14ac:dyDescent="0.25">
      <c r="A55" s="23"/>
      <c r="B55" s="50"/>
      <c r="C55" s="50"/>
      <c r="D55" s="50"/>
      <c r="E55" s="50"/>
      <c r="F55" s="51"/>
    </row>
    <row r="56" spans="1:6" ht="25.5" customHeight="1" x14ac:dyDescent="0.25">
      <c r="A56" s="74" t="s">
        <v>91</v>
      </c>
      <c r="B56" s="75"/>
      <c r="C56" s="75"/>
      <c r="D56" s="75"/>
      <c r="E56" s="75"/>
      <c r="F56" s="76"/>
    </row>
    <row r="57" spans="1:6" ht="15.75" customHeight="1" x14ac:dyDescent="0.25">
      <c r="A57" s="70" t="s">
        <v>15</v>
      </c>
      <c r="B57" s="77"/>
      <c r="C57" s="69"/>
      <c r="D57" s="70" t="s">
        <v>16</v>
      </c>
      <c r="E57" s="77"/>
      <c r="F57" s="69"/>
    </row>
    <row r="58" spans="1:6" ht="15.75" customHeight="1" x14ac:dyDescent="0.25">
      <c r="A58" s="70"/>
      <c r="B58" s="77"/>
      <c r="C58" s="69"/>
      <c r="D58" s="70"/>
      <c r="E58" s="77"/>
      <c r="F58" s="69"/>
    </row>
    <row r="59" spans="1:6" ht="15.75" customHeight="1" x14ac:dyDescent="0.25">
      <c r="A59" s="70"/>
      <c r="B59" s="77"/>
      <c r="C59" s="69"/>
      <c r="D59" s="70"/>
      <c r="E59" s="77"/>
      <c r="F59" s="69"/>
    </row>
    <row r="60" spans="1:6" ht="15.75" customHeight="1" x14ac:dyDescent="0.25">
      <c r="A60" s="70"/>
      <c r="B60" s="77"/>
      <c r="C60" s="69"/>
      <c r="D60" s="70"/>
      <c r="E60" s="77"/>
      <c r="F60" s="69"/>
    </row>
    <row r="61" spans="1:6" ht="15.75" customHeight="1" x14ac:dyDescent="0.25">
      <c r="A61" s="71"/>
      <c r="B61" s="80"/>
      <c r="C61" s="72"/>
      <c r="D61" s="71"/>
      <c r="E61" s="80"/>
      <c r="F61" s="72"/>
    </row>
    <row r="62" spans="1:6" ht="15.75" customHeight="1" x14ac:dyDescent="0.25">
      <c r="A62" s="32"/>
      <c r="B62" s="52"/>
      <c r="C62" s="52"/>
      <c r="D62" s="52"/>
      <c r="E62" s="52"/>
      <c r="F62" s="33"/>
    </row>
    <row r="63" spans="1:6" ht="25.5" customHeight="1" x14ac:dyDescent="0.25">
      <c r="A63" s="74" t="s">
        <v>17</v>
      </c>
      <c r="B63" s="75"/>
      <c r="C63" s="75"/>
      <c r="D63" s="75"/>
      <c r="E63" s="75"/>
      <c r="F63" s="76"/>
    </row>
    <row r="64" spans="1:6" ht="15.75" customHeight="1" x14ac:dyDescent="0.25">
      <c r="A64" s="70" t="s">
        <v>18</v>
      </c>
      <c r="B64" s="77"/>
      <c r="C64" s="69"/>
      <c r="D64" s="70" t="s">
        <v>92</v>
      </c>
      <c r="E64" s="77"/>
      <c r="F64" s="69"/>
    </row>
    <row r="65" spans="1:26" ht="15.75" customHeight="1" x14ac:dyDescent="0.25">
      <c r="A65" s="70"/>
      <c r="B65" s="77"/>
      <c r="C65" s="69"/>
      <c r="D65" s="70"/>
      <c r="E65" s="77"/>
      <c r="F65" s="69"/>
    </row>
    <row r="66" spans="1:26" ht="15.75" customHeight="1" x14ac:dyDescent="0.25">
      <c r="A66" s="70"/>
      <c r="B66" s="77"/>
      <c r="C66" s="69"/>
      <c r="D66" s="70"/>
      <c r="E66" s="77"/>
      <c r="F66" s="69"/>
    </row>
    <row r="67" spans="1:26" ht="15.75" customHeight="1" x14ac:dyDescent="0.25">
      <c r="A67" s="70"/>
      <c r="B67" s="77"/>
      <c r="C67" s="69"/>
      <c r="D67" s="70"/>
      <c r="E67" s="77"/>
      <c r="F67" s="69"/>
    </row>
    <row r="68" spans="1:26" ht="15.75" customHeight="1" x14ac:dyDescent="0.25">
      <c r="A68" s="71"/>
      <c r="B68" s="80"/>
      <c r="C68" s="72"/>
      <c r="D68" s="71"/>
      <c r="E68" s="80"/>
      <c r="F68" s="72"/>
    </row>
    <row r="69" spans="1:26" ht="15.75" customHeight="1" x14ac:dyDescent="0.25">
      <c r="A69" s="32"/>
      <c r="B69" s="52"/>
      <c r="C69" s="52"/>
      <c r="D69" s="52"/>
      <c r="E69" s="52"/>
      <c r="F69" s="52"/>
      <c r="G69" s="1"/>
    </row>
    <row r="70" spans="1:26" ht="36" customHeight="1" x14ac:dyDescent="0.25">
      <c r="A70" s="53"/>
      <c r="B70" s="53"/>
      <c r="C70" s="54"/>
      <c r="D70" s="53"/>
      <c r="E70" s="53"/>
      <c r="F70" s="53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9.5" customHeight="1" x14ac:dyDescent="0.25">
      <c r="A71" s="53"/>
      <c r="B71" s="53"/>
      <c r="C71" s="81" t="s">
        <v>19</v>
      </c>
      <c r="D71" s="82"/>
      <c r="E71" s="53"/>
      <c r="F71" s="53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25">
      <c r="A72" s="83"/>
      <c r="B72" s="84"/>
      <c r="C72" s="84"/>
      <c r="D72" s="84"/>
      <c r="E72" s="84"/>
      <c r="F72" s="84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s="61" customFormat="1" ht="15.75" customHeight="1" x14ac:dyDescent="0.25">
      <c r="A73" s="55"/>
      <c r="B73" s="55"/>
      <c r="C73" s="55"/>
      <c r="D73" s="55"/>
      <c r="E73" s="55"/>
      <c r="F73" s="55"/>
      <c r="G73" s="55" t="s">
        <v>20</v>
      </c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s="61" customFormat="1" ht="15.75" customHeight="1" x14ac:dyDescent="0.25">
      <c r="A74" s="55"/>
      <c r="B74" s="55"/>
      <c r="C74" s="55"/>
      <c r="D74" s="55" t="s">
        <v>21</v>
      </c>
      <c r="E74" s="55"/>
      <c r="F74" s="62"/>
      <c r="G74" s="55" t="s">
        <v>22</v>
      </c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s="61" customFormat="1" ht="15.75" customHeight="1" x14ac:dyDescent="0.25">
      <c r="A75" s="55"/>
      <c r="B75" s="55"/>
      <c r="C75" s="55"/>
      <c r="D75" s="63">
        <v>2.0833333333333332E-2</v>
      </c>
      <c r="E75" s="55"/>
      <c r="F75" s="62"/>
      <c r="G75" s="55" t="s">
        <v>23</v>
      </c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s="61" customFormat="1" ht="15.75" customHeight="1" x14ac:dyDescent="0.25">
      <c r="A76" s="55"/>
      <c r="B76" s="55"/>
      <c r="C76" s="55"/>
      <c r="D76" s="63">
        <v>4.1666666666666664E-2</v>
      </c>
      <c r="E76" s="55"/>
      <c r="F76" s="62"/>
      <c r="G76" s="55" t="s">
        <v>24</v>
      </c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s="61" customFormat="1" ht="15.75" customHeight="1" x14ac:dyDescent="0.25">
      <c r="A77" s="55"/>
      <c r="B77" s="55"/>
      <c r="C77" s="55"/>
      <c r="D77" s="63">
        <v>6.25E-2</v>
      </c>
      <c r="E77" s="55"/>
      <c r="F77" s="62"/>
      <c r="G77" s="55" t="s">
        <v>25</v>
      </c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s="61" customFormat="1" ht="15.75" customHeight="1" x14ac:dyDescent="0.25">
      <c r="A78" s="55" t="s">
        <v>26</v>
      </c>
      <c r="B78" s="55"/>
      <c r="C78" s="55"/>
      <c r="D78" s="63">
        <v>8.3333333333333329E-2</v>
      </c>
      <c r="E78" s="55"/>
      <c r="F78" s="62"/>
      <c r="G78" s="55" t="s">
        <v>27</v>
      </c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s="61" customFormat="1" ht="15.75" customHeight="1" x14ac:dyDescent="0.25">
      <c r="A79" s="63">
        <v>4.1666666666666664E-2</v>
      </c>
      <c r="B79" s="55"/>
      <c r="C79" s="55"/>
      <c r="D79" s="55"/>
      <c r="E79" s="55"/>
      <c r="F79" s="62"/>
      <c r="G79" s="55" t="s">
        <v>28</v>
      </c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s="61" customFormat="1" ht="15.75" customHeight="1" x14ac:dyDescent="0.25">
      <c r="A80" s="63">
        <v>8.3333333333333329E-2</v>
      </c>
      <c r="B80" s="55" t="s">
        <v>29</v>
      </c>
      <c r="C80" s="55" t="s">
        <v>30</v>
      </c>
      <c r="D80" s="55"/>
      <c r="E80" s="55"/>
      <c r="F80" s="62"/>
      <c r="G80" s="55" t="s">
        <v>31</v>
      </c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s="61" customFormat="1" ht="15.75" customHeight="1" x14ac:dyDescent="0.25">
      <c r="A81" s="63">
        <v>0.125</v>
      </c>
      <c r="B81" s="55" t="s">
        <v>32</v>
      </c>
      <c r="C81" s="55">
        <v>2022</v>
      </c>
      <c r="D81" s="55"/>
      <c r="E81" s="63"/>
      <c r="F81" s="55" t="s">
        <v>33</v>
      </c>
      <c r="G81" s="55" t="s">
        <v>34</v>
      </c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s="61" customFormat="1" ht="15.75" customHeight="1" x14ac:dyDescent="0.25">
      <c r="A82" s="63">
        <v>0.16666666666666699</v>
      </c>
      <c r="B82" s="55" t="s">
        <v>35</v>
      </c>
      <c r="C82" s="55">
        <v>2023</v>
      </c>
      <c r="D82" s="55"/>
      <c r="E82" s="63"/>
      <c r="F82" s="64">
        <v>1.5625</v>
      </c>
      <c r="G82" s="55" t="s">
        <v>36</v>
      </c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s="61" customFormat="1" ht="15.75" customHeight="1" x14ac:dyDescent="0.25">
      <c r="A83" s="63">
        <v>0.20833333333333401</v>
      </c>
      <c r="B83" s="55"/>
      <c r="C83" s="55">
        <v>2024</v>
      </c>
      <c r="D83" s="55"/>
      <c r="E83" s="63"/>
      <c r="F83" s="55" t="s">
        <v>37</v>
      </c>
      <c r="G83" s="55" t="s">
        <v>38</v>
      </c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s="61" customFormat="1" ht="15.75" customHeight="1" x14ac:dyDescent="0.25">
      <c r="A84" s="63">
        <v>0.25</v>
      </c>
      <c r="B84" s="55" t="s">
        <v>39</v>
      </c>
      <c r="C84" s="55">
        <v>2025</v>
      </c>
      <c r="D84" s="55"/>
      <c r="E84" s="63"/>
      <c r="F84" s="64">
        <v>0.83333333333333337</v>
      </c>
      <c r="G84" s="55" t="s">
        <v>40</v>
      </c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s="61" customFormat="1" ht="15.75" customHeight="1" x14ac:dyDescent="0.25">
      <c r="A85" s="63">
        <v>0.29166666666666702</v>
      </c>
      <c r="B85" s="55">
        <v>1</v>
      </c>
      <c r="C85" s="55">
        <v>2026</v>
      </c>
      <c r="D85" s="55"/>
      <c r="E85" s="63"/>
      <c r="F85" s="55"/>
      <c r="G85" s="55" t="s">
        <v>41</v>
      </c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s="61" customFormat="1" ht="15.75" customHeight="1" x14ac:dyDescent="0.25">
      <c r="A86" s="63">
        <v>0.33333333333333398</v>
      </c>
      <c r="B86" s="55">
        <v>2</v>
      </c>
      <c r="C86" s="55">
        <v>2027</v>
      </c>
      <c r="D86" s="55"/>
      <c r="E86" s="63"/>
      <c r="F86" s="55"/>
      <c r="G86" s="55" t="s">
        <v>42</v>
      </c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s="61" customFormat="1" ht="15.75" customHeight="1" x14ac:dyDescent="0.25">
      <c r="A87" s="63">
        <v>0.375000000000001</v>
      </c>
      <c r="B87" s="55"/>
      <c r="C87" s="55">
        <v>2028</v>
      </c>
      <c r="D87" s="55"/>
      <c r="E87" s="63"/>
      <c r="F87" s="55"/>
      <c r="G87" s="55" t="s">
        <v>43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s="61" customFormat="1" ht="15.75" customHeight="1" x14ac:dyDescent="0.25">
      <c r="A88" s="63">
        <v>0.41666666666666802</v>
      </c>
      <c r="B88" s="55"/>
      <c r="C88" s="55">
        <v>2029</v>
      </c>
      <c r="D88" s="55"/>
      <c r="E88" s="63"/>
      <c r="F88" s="55"/>
      <c r="G88" s="55" t="s">
        <v>44</v>
      </c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s="61" customFormat="1" ht="15.75" customHeight="1" x14ac:dyDescent="0.25">
      <c r="A89" s="63">
        <v>0.45833333333333498</v>
      </c>
      <c r="B89" s="55"/>
      <c r="C89" s="55">
        <v>2030</v>
      </c>
      <c r="D89" s="55"/>
      <c r="E89" s="63"/>
      <c r="F89" s="55"/>
      <c r="G89" s="55" t="s">
        <v>45</v>
      </c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s="61" customFormat="1" ht="15.75" customHeight="1" x14ac:dyDescent="0.25">
      <c r="A90" s="63">
        <v>0.500000000000002</v>
      </c>
      <c r="B90" s="55"/>
      <c r="C90" s="55"/>
      <c r="D90" s="55"/>
      <c r="E90" s="63"/>
      <c r="F90" s="55"/>
      <c r="G90" s="55" t="s">
        <v>46</v>
      </c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s="61" customFormat="1" ht="15.75" customHeight="1" x14ac:dyDescent="0.25">
      <c r="A91" s="55"/>
      <c r="B91" s="55"/>
      <c r="C91" s="55"/>
      <c r="D91" s="55"/>
      <c r="E91" s="63"/>
      <c r="F91" s="55"/>
      <c r="G91" s="55" t="s">
        <v>47</v>
      </c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s="61" customFormat="1" ht="15.75" customHeight="1" x14ac:dyDescent="0.25">
      <c r="A92" s="55" t="s">
        <v>48</v>
      </c>
      <c r="B92" s="55" t="s">
        <v>49</v>
      </c>
      <c r="C92" s="55" t="s">
        <v>50</v>
      </c>
      <c r="D92" s="55" t="s">
        <v>51</v>
      </c>
      <c r="E92" s="63"/>
      <c r="F92" s="55" t="s">
        <v>52</v>
      </c>
      <c r="G92" s="55" t="s">
        <v>53</v>
      </c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s="61" customFormat="1" ht="15.75" customHeight="1" x14ac:dyDescent="0.25">
      <c r="A93" s="63">
        <v>0.35416666666666669</v>
      </c>
      <c r="B93" s="63">
        <v>0.375</v>
      </c>
      <c r="C93" s="55" t="s">
        <v>54</v>
      </c>
      <c r="D93" s="55" t="s">
        <v>55</v>
      </c>
      <c r="E93" s="63"/>
      <c r="F93" s="55" t="s">
        <v>56</v>
      </c>
      <c r="G93" s="55" t="s">
        <v>57</v>
      </c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s="61" customFormat="1" ht="15.75" customHeight="1" x14ac:dyDescent="0.25">
      <c r="A94" s="63">
        <v>0.375</v>
      </c>
      <c r="B94" s="63">
        <v>0.39583333333333331</v>
      </c>
      <c r="C94" s="55" t="s">
        <v>58</v>
      </c>
      <c r="D94" s="55" t="s">
        <v>59</v>
      </c>
      <c r="E94" s="63"/>
      <c r="F94" s="55" t="s">
        <v>60</v>
      </c>
      <c r="G94" s="55" t="s">
        <v>61</v>
      </c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s="61" customFormat="1" ht="15.75" customHeight="1" x14ac:dyDescent="0.25">
      <c r="A95" s="63">
        <v>0.39583333333333331</v>
      </c>
      <c r="B95" s="63">
        <v>0.41666666666666669</v>
      </c>
      <c r="C95" s="55" t="s">
        <v>62</v>
      </c>
      <c r="D95" s="55" t="s">
        <v>63</v>
      </c>
      <c r="E95" s="63"/>
      <c r="F95" s="55" t="s">
        <v>64</v>
      </c>
      <c r="G95" s="55" t="s">
        <v>65</v>
      </c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s="61" customFormat="1" ht="15.75" customHeight="1" x14ac:dyDescent="0.25">
      <c r="A96" s="63">
        <v>0.41666666666666669</v>
      </c>
      <c r="B96" s="63">
        <v>0.4375</v>
      </c>
      <c r="C96" s="55" t="s">
        <v>66</v>
      </c>
      <c r="D96" s="55" t="s">
        <v>67</v>
      </c>
      <c r="E96" s="63"/>
      <c r="F96" s="55"/>
      <c r="G96" s="55" t="s">
        <v>68</v>
      </c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s="61" customFormat="1" ht="15.75" customHeight="1" x14ac:dyDescent="0.25">
      <c r="A97" s="63">
        <v>0.4375</v>
      </c>
      <c r="B97" s="63">
        <v>0.45833333333333398</v>
      </c>
      <c r="C97" s="55" t="s">
        <v>69</v>
      </c>
      <c r="D97" s="55" t="s">
        <v>70</v>
      </c>
      <c r="E97" s="63"/>
      <c r="F97" s="55"/>
      <c r="G97" s="55" t="s">
        <v>71</v>
      </c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s="61" customFormat="1" ht="15.75" customHeight="1" x14ac:dyDescent="0.25">
      <c r="A98" s="63">
        <v>0.45833333333333398</v>
      </c>
      <c r="B98" s="63">
        <v>0.47916666666666702</v>
      </c>
      <c r="C98" s="55"/>
      <c r="D98" s="55" t="s">
        <v>72</v>
      </c>
      <c r="E98" s="63"/>
      <c r="F98" s="55"/>
      <c r="G98" s="55" t="s">
        <v>73</v>
      </c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s="61" customFormat="1" ht="15.75" customHeight="1" x14ac:dyDescent="0.25">
      <c r="A99" s="63">
        <v>0.47916666666666702</v>
      </c>
      <c r="B99" s="63">
        <v>0.5</v>
      </c>
      <c r="C99" s="55"/>
      <c r="D99" s="55" t="s">
        <v>74</v>
      </c>
      <c r="E99" s="63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s="61" customFormat="1" ht="15.75" customHeight="1" x14ac:dyDescent="0.25">
      <c r="A100" s="63">
        <v>0.5</v>
      </c>
      <c r="B100" s="63">
        <v>0.52083333333333304</v>
      </c>
      <c r="C100" s="55"/>
      <c r="D100" s="55" t="s">
        <v>75</v>
      </c>
      <c r="E100" s="63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s="61" customFormat="1" ht="15.75" customHeight="1" x14ac:dyDescent="0.25">
      <c r="A101" s="63">
        <v>0.66666666666666663</v>
      </c>
      <c r="B101" s="63">
        <v>0.54166666666666596</v>
      </c>
      <c r="C101" s="55"/>
      <c r="D101" s="55" t="s">
        <v>76</v>
      </c>
      <c r="E101" s="63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s="61" customFormat="1" ht="15.75" customHeight="1" x14ac:dyDescent="0.25">
      <c r="A102" s="63">
        <v>0.6875</v>
      </c>
      <c r="B102" s="63">
        <v>0.562499999999999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s="61" customFormat="1" ht="15.75" customHeight="1" x14ac:dyDescent="0.25">
      <c r="A103" s="63">
        <v>0.70833333333333337</v>
      </c>
      <c r="B103" s="63">
        <v>0.58333333333333204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s="61" customFormat="1" ht="15.75" customHeight="1" x14ac:dyDescent="0.25">
      <c r="A104" s="63">
        <v>0.72916666666666696</v>
      </c>
      <c r="B104" s="63">
        <v>0.60416666666666496</v>
      </c>
      <c r="C104" s="55"/>
      <c r="D104" s="55" t="s">
        <v>77</v>
      </c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s="61" customFormat="1" ht="15.75" customHeight="1" x14ac:dyDescent="0.25">
      <c r="A105" s="63">
        <v>0.75</v>
      </c>
      <c r="B105" s="63">
        <v>0.624999999999998</v>
      </c>
      <c r="C105" s="55"/>
      <c r="D105" s="55" t="s">
        <v>78</v>
      </c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s="61" customFormat="1" ht="15.75" customHeight="1" x14ac:dyDescent="0.25">
      <c r="A106" s="63">
        <v>0.77083333333333404</v>
      </c>
      <c r="B106" s="63">
        <v>0.64583333333333104</v>
      </c>
      <c r="C106" s="55"/>
      <c r="D106" s="55" t="s">
        <v>79</v>
      </c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s="61" customFormat="1" ht="15.75" customHeight="1" x14ac:dyDescent="0.25">
      <c r="A107" s="63">
        <v>0.79166666666666696</v>
      </c>
      <c r="B107" s="63">
        <v>0.66666666666666397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s="61" customFormat="1" ht="15.75" customHeight="1" x14ac:dyDescent="0.25">
      <c r="A108" s="55"/>
      <c r="B108" s="63">
        <v>0.6875</v>
      </c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s="61" customFormat="1" ht="15.75" customHeight="1" x14ac:dyDescent="0.25">
      <c r="A109" s="55"/>
      <c r="B109" s="63">
        <v>0.70833333333333337</v>
      </c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s="61" customFormat="1" ht="15.75" customHeight="1" x14ac:dyDescent="0.25">
      <c r="A110" s="55"/>
      <c r="B110" s="63">
        <v>0.72916666666666696</v>
      </c>
      <c r="C110" s="55"/>
      <c r="D110" s="55" t="s">
        <v>80</v>
      </c>
      <c r="E110" s="55" t="s">
        <v>81</v>
      </c>
      <c r="F110" s="55" t="s">
        <v>82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s="61" customFormat="1" ht="15.75" customHeight="1" x14ac:dyDescent="0.25">
      <c r="A111" s="55"/>
      <c r="B111" s="63">
        <v>0.75</v>
      </c>
      <c r="C111" s="55"/>
      <c r="D111" s="55">
        <v>200</v>
      </c>
      <c r="E111" s="55" t="s">
        <v>54</v>
      </c>
      <c r="F111" s="65">
        <v>1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s="61" customFormat="1" ht="15.75" customHeight="1" x14ac:dyDescent="0.25">
      <c r="A112" s="55"/>
      <c r="B112" s="63">
        <v>0.77083333333333404</v>
      </c>
      <c r="C112" s="55"/>
      <c r="D112" s="55">
        <v>250</v>
      </c>
      <c r="E112" s="55" t="s">
        <v>58</v>
      </c>
      <c r="F112" s="65">
        <v>2</v>
      </c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s="61" customFormat="1" ht="15.75" customHeight="1" x14ac:dyDescent="0.25">
      <c r="A113" s="55"/>
      <c r="B113" s="63">
        <v>0.79166666666666696</v>
      </c>
      <c r="C113" s="55"/>
      <c r="D113" s="55">
        <v>300</v>
      </c>
      <c r="E113" s="55" t="s">
        <v>62</v>
      </c>
      <c r="F113" s="65">
        <v>3</v>
      </c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s="61" customFormat="1" ht="15.75" customHeight="1" x14ac:dyDescent="0.25">
      <c r="A114" s="55"/>
      <c r="B114" s="63">
        <v>0.812500000000001</v>
      </c>
      <c r="C114" s="55"/>
      <c r="D114" s="55">
        <v>350</v>
      </c>
      <c r="E114" s="55" t="s">
        <v>66</v>
      </c>
      <c r="F114" s="65">
        <v>4</v>
      </c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s="61" customFormat="1" ht="15.75" customHeight="1" x14ac:dyDescent="0.25">
      <c r="A115" s="55" t="s">
        <v>83</v>
      </c>
      <c r="B115" s="55"/>
      <c r="C115" s="55"/>
      <c r="D115" s="55">
        <v>400</v>
      </c>
      <c r="E115" s="55" t="s">
        <v>69</v>
      </c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s="61" customFormat="1" ht="15.75" customHeight="1" x14ac:dyDescent="0.25">
      <c r="A116" s="66" t="s">
        <v>84</v>
      </c>
      <c r="B116" s="55" t="s">
        <v>85</v>
      </c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s="61" customFormat="1" ht="15.75" customHeight="1" x14ac:dyDescent="0.25">
      <c r="A117" s="66" t="s">
        <v>86</v>
      </c>
      <c r="B117" s="55">
        <v>4</v>
      </c>
      <c r="C117" s="67">
        <v>4</v>
      </c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s="61" customFormat="1" ht="15.75" customHeight="1" x14ac:dyDescent="0.25">
      <c r="A118" s="66" t="s">
        <v>87</v>
      </c>
      <c r="B118" s="55">
        <v>3</v>
      </c>
      <c r="C118" s="67">
        <v>3</v>
      </c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s="61" customFormat="1" ht="15.75" customHeight="1" x14ac:dyDescent="0.25">
      <c r="A119" s="66" t="s">
        <v>88</v>
      </c>
      <c r="B119" s="55">
        <v>2</v>
      </c>
      <c r="C119" s="67">
        <v>2</v>
      </c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s="61" customFormat="1" ht="15.75" customHeight="1" x14ac:dyDescent="0.25">
      <c r="A120" s="66" t="s">
        <v>89</v>
      </c>
      <c r="B120" s="55">
        <v>1</v>
      </c>
      <c r="C120" s="67">
        <v>1</v>
      </c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s="61" customFormat="1" ht="15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s="61" customFormat="1" ht="15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s="61" customFormat="1" ht="15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s="61" customFormat="1" ht="15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s="61" customFormat="1" ht="15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s="61" customFormat="1" ht="15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s="61" customFormat="1" ht="15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s="61" customFormat="1" ht="15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s="61" customFormat="1" ht="15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s="61" customFormat="1" ht="15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s="61" customFormat="1" ht="15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s="61" customFormat="1" ht="15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s="61" customFormat="1" ht="15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s="61" customFormat="1" ht="15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s="61" customFormat="1" ht="15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s="61" customFormat="1" ht="15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s="61" customFormat="1" ht="15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s="61" customFormat="1" ht="15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s="61" customFormat="1" ht="15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s="61" customFormat="1" ht="15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s="61" customFormat="1" ht="15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s="61" customFormat="1" ht="15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s="61" customFormat="1" ht="15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s="61" customFormat="1" ht="15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s="61" customFormat="1" ht="15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s="61" customFormat="1" ht="15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s="61" customFormat="1" ht="15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s="61" customFormat="1" ht="15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s="61" customFormat="1" ht="15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s="61" customFormat="1" ht="15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s="61" customFormat="1" ht="15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s="61" customFormat="1" ht="15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s="61" customFormat="1" ht="15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s="61" customFormat="1" ht="15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s="61" customFormat="1" ht="15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s="61" customFormat="1" ht="15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s="61" customFormat="1" ht="15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s="61" customFormat="1" ht="15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s="61" customFormat="1" ht="15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s="61" customFormat="1" ht="15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s="61" customFormat="1" ht="15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s="61" customFormat="1" ht="15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s="61" customFormat="1" ht="15.75" customHeight="1" x14ac:dyDescent="0.25">
      <c r="A163" s="55"/>
      <c r="B163" s="55"/>
      <c r="C163" s="55"/>
      <c r="D163" s="55"/>
      <c r="E163" s="55"/>
      <c r="F163" s="55"/>
    </row>
    <row r="164" spans="1:26" s="61" customFormat="1" ht="15.75" customHeight="1" x14ac:dyDescent="0.25"/>
    <row r="165" spans="1:26" s="61" customFormat="1" ht="15.75" customHeight="1" x14ac:dyDescent="0.25"/>
    <row r="166" spans="1:26" s="61" customFormat="1" ht="15.75" customHeight="1" x14ac:dyDescent="0.25"/>
    <row r="167" spans="1:26" s="61" customFormat="1" ht="15.75" customHeight="1" x14ac:dyDescent="0.25"/>
    <row r="168" spans="1:26" s="61" customFormat="1" ht="15.75" customHeight="1" x14ac:dyDescent="0.25"/>
    <row r="169" spans="1:26" s="61" customFormat="1" ht="15.75" customHeight="1" x14ac:dyDescent="0.25"/>
    <row r="170" spans="1:26" s="61" customFormat="1" ht="15.75" customHeight="1" x14ac:dyDescent="0.25"/>
    <row r="171" spans="1:26" s="61" customFormat="1" ht="15.75" customHeight="1" x14ac:dyDescent="0.25"/>
    <row r="172" spans="1:26" s="61" customFormat="1" ht="15.75" customHeight="1" x14ac:dyDescent="0.25"/>
    <row r="173" spans="1:26" s="61" customFormat="1" ht="15.75" customHeight="1" x14ac:dyDescent="0.25"/>
    <row r="174" spans="1:26" s="61" customFormat="1" ht="15.75" customHeight="1" x14ac:dyDescent="0.25"/>
    <row r="175" spans="1:26" s="61" customFormat="1" ht="15.75" customHeight="1" x14ac:dyDescent="0.25"/>
    <row r="176" spans="1:26" s="61" customFormat="1" ht="15.75" customHeight="1" x14ac:dyDescent="0.25"/>
    <row r="177" s="61" customFormat="1" ht="15.75" customHeight="1" x14ac:dyDescent="0.25"/>
    <row r="178" s="61" customFormat="1" ht="15.75" customHeight="1" x14ac:dyDescent="0.25"/>
    <row r="179" s="61" customFormat="1" ht="15.75" customHeight="1" x14ac:dyDescent="0.25"/>
    <row r="180" s="61" customFormat="1" ht="15.75" customHeight="1" x14ac:dyDescent="0.25"/>
    <row r="181" s="61" customFormat="1" ht="15.75" customHeight="1" x14ac:dyDescent="0.25"/>
    <row r="182" s="61" customFormat="1" ht="15.75" customHeight="1" x14ac:dyDescent="0.25"/>
    <row r="183" s="61" customFormat="1" ht="15.75" customHeight="1" x14ac:dyDescent="0.25"/>
    <row r="184" s="61" customFormat="1" ht="15.75" customHeight="1" x14ac:dyDescent="0.25"/>
    <row r="185" s="61" customFormat="1" ht="15.75" customHeight="1" x14ac:dyDescent="0.25"/>
    <row r="186" s="61" customFormat="1" ht="15.75" customHeight="1" x14ac:dyDescent="0.25"/>
    <row r="187" s="61" customFormat="1" ht="15.75" customHeight="1" x14ac:dyDescent="0.25"/>
    <row r="188" s="61" customFormat="1" ht="15.75" customHeight="1" x14ac:dyDescent="0.25"/>
    <row r="189" s="61" customFormat="1" ht="15.75" customHeight="1" x14ac:dyDescent="0.25"/>
    <row r="190" s="61" customFormat="1" ht="15.75" customHeight="1" x14ac:dyDescent="0.25"/>
    <row r="191" s="61" customFormat="1" ht="15.75" customHeight="1" x14ac:dyDescent="0.25"/>
    <row r="192" s="61" customFormat="1" ht="15.75" customHeight="1" x14ac:dyDescent="0.25"/>
    <row r="193" s="61" customFormat="1" ht="15.75" customHeight="1" x14ac:dyDescent="0.25"/>
    <row r="194" s="61" customFormat="1" ht="15.75" customHeight="1" x14ac:dyDescent="0.25"/>
    <row r="195" s="61" customFormat="1" ht="15.75" customHeight="1" x14ac:dyDescent="0.25"/>
    <row r="196" s="61" customFormat="1" ht="15.75" customHeight="1" x14ac:dyDescent="0.25"/>
    <row r="197" s="61" customFormat="1" ht="15.75" customHeight="1" x14ac:dyDescent="0.25"/>
    <row r="198" s="61" customFormat="1" ht="15.75" customHeight="1" x14ac:dyDescent="0.25"/>
    <row r="199" s="61" customFormat="1" ht="15.75" customHeight="1" x14ac:dyDescent="0.25"/>
    <row r="200" s="61" customFormat="1" ht="15.75" customHeight="1" x14ac:dyDescent="0.25"/>
    <row r="201" s="61" customFormat="1" ht="15.75" customHeight="1" x14ac:dyDescent="0.25"/>
    <row r="202" s="61" customFormat="1" ht="15.75" customHeight="1" x14ac:dyDescent="0.25"/>
    <row r="203" s="61" customFormat="1" ht="15.75" customHeight="1" x14ac:dyDescent="0.25"/>
    <row r="204" s="61" customFormat="1" ht="15.75" customHeight="1" x14ac:dyDescent="0.25"/>
    <row r="205" s="61" customFormat="1" ht="15.75" customHeight="1" x14ac:dyDescent="0.25"/>
    <row r="206" s="61" customFormat="1" ht="15.75" customHeight="1" x14ac:dyDescent="0.25"/>
    <row r="207" s="61" customFormat="1" ht="15.75" customHeight="1" x14ac:dyDescent="0.25"/>
    <row r="208" s="61" customFormat="1" ht="15.75" customHeight="1" x14ac:dyDescent="0.25"/>
    <row r="209" s="61" customFormat="1" ht="15.75" customHeight="1" x14ac:dyDescent="0.25"/>
    <row r="210" s="61" customFormat="1" ht="15.75" customHeight="1" x14ac:dyDescent="0.25"/>
    <row r="211" s="61" customFormat="1" ht="15.75" customHeight="1" x14ac:dyDescent="0.25"/>
    <row r="212" s="61" customFormat="1" ht="15.75" customHeight="1" x14ac:dyDescent="0.25"/>
    <row r="213" s="61" customFormat="1" ht="15.75" customHeight="1" x14ac:dyDescent="0.25"/>
    <row r="214" s="61" customFormat="1" ht="15.75" customHeight="1" x14ac:dyDescent="0.25"/>
    <row r="215" s="61" customFormat="1" ht="15.75" customHeight="1" x14ac:dyDescent="0.25"/>
    <row r="216" s="61" customFormat="1" ht="15.75" customHeight="1" x14ac:dyDescent="0.25"/>
    <row r="217" s="61" customFormat="1" ht="15.75" customHeight="1" x14ac:dyDescent="0.25"/>
    <row r="218" s="61" customFormat="1" ht="15.75" customHeight="1" x14ac:dyDescent="0.25"/>
    <row r="219" s="61" customFormat="1" ht="15.75" customHeight="1" x14ac:dyDescent="0.25"/>
    <row r="220" s="61" customFormat="1" ht="15.75" customHeight="1" x14ac:dyDescent="0.25"/>
    <row r="221" s="61" customFormat="1" ht="15.75" customHeight="1" x14ac:dyDescent="0.25"/>
    <row r="222" s="61" customFormat="1" ht="15.75" customHeight="1" x14ac:dyDescent="0.25"/>
    <row r="223" s="61" customFormat="1" ht="15.75" customHeight="1" x14ac:dyDescent="0.25"/>
    <row r="224" s="61" customFormat="1" ht="15.75" customHeight="1" x14ac:dyDescent="0.25"/>
    <row r="225" s="61" customFormat="1" ht="15.75" customHeight="1" x14ac:dyDescent="0.25"/>
    <row r="226" s="61" customFormat="1" ht="15.75" customHeight="1" x14ac:dyDescent="0.25"/>
    <row r="227" s="61" customFormat="1" ht="15.75" customHeight="1" x14ac:dyDescent="0.25"/>
    <row r="228" s="61" customFormat="1" ht="15.75" customHeight="1" x14ac:dyDescent="0.25"/>
    <row r="229" s="61" customFormat="1" ht="15.75" customHeight="1" x14ac:dyDescent="0.25"/>
    <row r="230" s="61" customFormat="1" ht="15.75" customHeight="1" x14ac:dyDescent="0.25"/>
    <row r="231" s="61" customFormat="1" ht="15.75" customHeight="1" x14ac:dyDescent="0.25"/>
    <row r="232" s="61" customFormat="1" ht="15.75" customHeight="1" x14ac:dyDescent="0.25"/>
    <row r="233" s="61" customFormat="1" ht="15.75" customHeight="1" x14ac:dyDescent="0.25"/>
    <row r="234" s="61" customFormat="1" ht="15.75" customHeight="1" x14ac:dyDescent="0.25"/>
    <row r="235" s="61" customFormat="1" ht="15.75" customHeight="1" x14ac:dyDescent="0.25"/>
    <row r="236" s="61" customFormat="1" ht="15.75" customHeight="1" x14ac:dyDescent="0.25"/>
    <row r="237" s="61" customFormat="1" ht="15.75" customHeight="1" x14ac:dyDescent="0.25"/>
    <row r="238" s="61" customFormat="1" ht="15.75" customHeight="1" x14ac:dyDescent="0.25"/>
    <row r="239" s="61" customFormat="1" ht="15.75" customHeight="1" x14ac:dyDescent="0.25"/>
    <row r="240" s="61" customFormat="1" ht="15.75" customHeight="1" x14ac:dyDescent="0.25"/>
    <row r="241" s="61" customFormat="1" ht="15.75" customHeight="1" x14ac:dyDescent="0.25"/>
    <row r="242" s="61" customFormat="1" ht="15.75" customHeight="1" x14ac:dyDescent="0.25"/>
    <row r="243" s="61" customFormat="1" ht="15.75" customHeight="1" x14ac:dyDescent="0.25"/>
    <row r="244" s="61" customFormat="1" ht="15.75" customHeight="1" x14ac:dyDescent="0.25"/>
    <row r="245" s="61" customFormat="1" ht="15.75" customHeight="1" x14ac:dyDescent="0.25"/>
    <row r="246" s="61" customFormat="1" ht="15.75" customHeight="1" x14ac:dyDescent="0.25"/>
    <row r="247" s="61" customFormat="1" ht="15.75" customHeight="1" x14ac:dyDescent="0.25"/>
    <row r="248" s="61" customFormat="1" ht="15.75" customHeight="1" x14ac:dyDescent="0.25"/>
    <row r="249" s="61" customFormat="1" ht="15.75" customHeight="1" x14ac:dyDescent="0.25"/>
    <row r="250" s="61" customFormat="1" ht="15.75" customHeight="1" x14ac:dyDescent="0.25"/>
    <row r="251" s="61" customFormat="1" ht="15.75" customHeight="1" x14ac:dyDescent="0.25"/>
    <row r="252" s="61" customFormat="1" ht="15.75" customHeight="1" x14ac:dyDescent="0.25"/>
    <row r="253" s="61" customFormat="1" ht="15.75" customHeight="1" x14ac:dyDescent="0.25"/>
    <row r="254" s="61" customFormat="1" ht="15.75" customHeight="1" x14ac:dyDescent="0.25"/>
    <row r="255" s="61" customFormat="1" ht="15.75" customHeight="1" x14ac:dyDescent="0.25"/>
    <row r="256" s="61" customFormat="1" ht="15.75" customHeight="1" x14ac:dyDescent="0.25"/>
    <row r="257" s="61" customFormat="1" ht="15.75" customHeight="1" x14ac:dyDescent="0.25"/>
    <row r="258" s="61" customFormat="1" ht="15.75" customHeight="1" x14ac:dyDescent="0.25"/>
    <row r="259" s="61" customFormat="1" ht="15.75" customHeight="1" x14ac:dyDescent="0.25"/>
    <row r="260" s="61" customFormat="1" ht="15.75" customHeight="1" x14ac:dyDescent="0.25"/>
    <row r="261" s="61" customFormat="1" ht="15.75" customHeight="1" x14ac:dyDescent="0.25"/>
    <row r="262" s="61" customFormat="1" ht="15.75" customHeight="1" x14ac:dyDescent="0.25"/>
    <row r="263" s="61" customFormat="1" ht="15.75" customHeight="1" x14ac:dyDescent="0.25"/>
    <row r="264" s="61" customFormat="1" ht="15.75" customHeight="1" x14ac:dyDescent="0.25"/>
    <row r="265" s="61" customFormat="1" ht="15.75" customHeight="1" x14ac:dyDescent="0.25"/>
    <row r="266" s="61" customFormat="1" ht="15.75" customHeight="1" x14ac:dyDescent="0.25"/>
    <row r="267" s="61" customFormat="1" ht="15.75" customHeight="1" x14ac:dyDescent="0.25"/>
    <row r="268" s="61" customFormat="1" ht="15.75" customHeight="1" x14ac:dyDescent="0.25"/>
    <row r="269" s="61" customFormat="1" ht="15.75" customHeight="1" x14ac:dyDescent="0.25"/>
    <row r="270" s="61" customFormat="1" ht="15.75" customHeight="1" x14ac:dyDescent="0.25"/>
    <row r="271" s="61" customFormat="1" ht="15.75" customHeight="1" x14ac:dyDescent="0.25"/>
    <row r="272" s="61" customFormat="1" ht="15.75" customHeight="1" x14ac:dyDescent="0.25"/>
    <row r="273" s="61" customFormat="1" ht="15.75" customHeight="1" x14ac:dyDescent="0.25"/>
    <row r="274" s="61" customFormat="1" ht="15.75" customHeight="1" x14ac:dyDescent="0.25"/>
    <row r="275" s="61" customFormat="1" ht="15.75" customHeight="1" x14ac:dyDescent="0.25"/>
    <row r="276" s="61" customFormat="1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sheetProtection insertColumns="0" insertRows="0" deleteColumns="0" deleteRows="0"/>
  <mergeCells count="94">
    <mergeCell ref="A29:B29"/>
    <mergeCell ref="A30:B30"/>
    <mergeCell ref="D21:E21"/>
    <mergeCell ref="D22:E22"/>
    <mergeCell ref="A31:B31"/>
    <mergeCell ref="D24:E24"/>
    <mergeCell ref="A21:B21"/>
    <mergeCell ref="A22:B22"/>
    <mergeCell ref="A23:B23"/>
    <mergeCell ref="D23:E23"/>
    <mergeCell ref="D26:E26"/>
    <mergeCell ref="D27:E27"/>
    <mergeCell ref="D29:E29"/>
    <mergeCell ref="D30:E30"/>
    <mergeCell ref="A28:B28"/>
    <mergeCell ref="A24:B24"/>
    <mergeCell ref="A26:B26"/>
    <mergeCell ref="A27:B27"/>
    <mergeCell ref="D17:E17"/>
    <mergeCell ref="A17:B17"/>
    <mergeCell ref="D18:E18"/>
    <mergeCell ref="D19:E19"/>
    <mergeCell ref="D20:E20"/>
    <mergeCell ref="A18:B18"/>
    <mergeCell ref="A19:B19"/>
    <mergeCell ref="A20:B20"/>
    <mergeCell ref="A1:F1"/>
    <mergeCell ref="A2:F2"/>
    <mergeCell ref="A3:F3"/>
    <mergeCell ref="A4:F4"/>
    <mergeCell ref="B6:F6"/>
    <mergeCell ref="B8:F8"/>
    <mergeCell ref="A12:F12"/>
    <mergeCell ref="A14:B14"/>
    <mergeCell ref="D14:E14"/>
    <mergeCell ref="A15:B15"/>
    <mergeCell ref="D15:E15"/>
    <mergeCell ref="A16:B16"/>
    <mergeCell ref="D16:E16"/>
    <mergeCell ref="C71:D71"/>
    <mergeCell ref="A72:F72"/>
    <mergeCell ref="D61:F61"/>
    <mergeCell ref="A63:F63"/>
    <mergeCell ref="A64:C64"/>
    <mergeCell ref="D64:F64"/>
    <mergeCell ref="A65:C65"/>
    <mergeCell ref="D65:F65"/>
    <mergeCell ref="D66:F66"/>
    <mergeCell ref="A61:C61"/>
    <mergeCell ref="A66:C66"/>
    <mergeCell ref="A67:C67"/>
    <mergeCell ref="A68:C68"/>
    <mergeCell ref="D67:F67"/>
    <mergeCell ref="D68:F68"/>
    <mergeCell ref="A59:C59"/>
    <mergeCell ref="D59:F59"/>
    <mergeCell ref="A60:C60"/>
    <mergeCell ref="D60:F60"/>
    <mergeCell ref="A58:C58"/>
    <mergeCell ref="D58:F58"/>
    <mergeCell ref="D51:F51"/>
    <mergeCell ref="D52:F52"/>
    <mergeCell ref="D53:F53"/>
    <mergeCell ref="D54:F54"/>
    <mergeCell ref="A52:C52"/>
    <mergeCell ref="A53:C53"/>
    <mergeCell ref="A54:C54"/>
    <mergeCell ref="A56:F56"/>
    <mergeCell ref="A57:C57"/>
    <mergeCell ref="D57:F57"/>
    <mergeCell ref="D39:E39"/>
    <mergeCell ref="D40:E40"/>
    <mergeCell ref="D41:E41"/>
    <mergeCell ref="A43:E43"/>
    <mergeCell ref="A47:E47"/>
    <mergeCell ref="A39:B39"/>
    <mergeCell ref="A40:B40"/>
    <mergeCell ref="A49:F49"/>
    <mergeCell ref="D50:F50"/>
    <mergeCell ref="A50:C50"/>
    <mergeCell ref="A51:C51"/>
    <mergeCell ref="A41:B41"/>
    <mergeCell ref="A38:B38"/>
    <mergeCell ref="D36:E36"/>
    <mergeCell ref="D37:E37"/>
    <mergeCell ref="D38:E38"/>
    <mergeCell ref="D32:E32"/>
    <mergeCell ref="D34:E34"/>
    <mergeCell ref="D35:E35"/>
    <mergeCell ref="A32:B32"/>
    <mergeCell ref="A34:B34"/>
    <mergeCell ref="A35:B35"/>
    <mergeCell ref="A36:B36"/>
    <mergeCell ref="A37:B37"/>
  </mergeCells>
  <dataValidations count="3">
    <dataValidation type="list" allowBlank="1" showErrorMessage="1" sqref="C15:C23 C48 C35:C40 C27:C31" xr:uid="{00000000-0002-0000-0000-000000000000}">
      <formula1>$B$117:$B$120</formula1>
    </dataValidation>
    <dataValidation type="list" allowBlank="1" showErrorMessage="1" sqref="B9" xr:uid="{00000000-0002-0000-0000-000001000000}">
      <formula1>Semestre</formula1>
    </dataValidation>
    <dataValidation type="list" allowBlank="1" showErrorMessage="1" sqref="D9" xr:uid="{00000000-0002-0000-0000-000002000000}">
      <formula1>Año</formula1>
    </dataValidation>
  </dataValidations>
  <pageMargins left="0.21" right="0.21" top="0.19685039370078741" bottom="0.11811023622047245" header="0" footer="0"/>
  <pageSetup paperSize="9" orientation="portrait" r:id="rId1"/>
  <headerFooter>
    <oddFooter>&amp;R&amp;P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PlanSemestral</vt:lpstr>
      <vt:lpstr>Año</vt:lpstr>
      <vt:lpstr>Carga</vt:lpstr>
      <vt:lpstr>Menú_de_horas</vt:lpstr>
      <vt:lpstr>Menú_de_horas_3</vt:lpstr>
      <vt:lpstr>Menú_de_inicio</vt:lpstr>
      <vt:lpstr>Menú_fin</vt:lpstr>
      <vt:lpstr>Nivel</vt:lpstr>
      <vt:lpstr>Profesor_Asistente</vt:lpstr>
      <vt:lpstr>Semestre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A. Paredes</dc:creator>
  <cp:lastModifiedBy>JOSE ANTONIO FAVIAN YUJRA YANA</cp:lastModifiedBy>
  <cp:lastPrinted>2024-06-05T18:28:33Z</cp:lastPrinted>
  <dcterms:created xsi:type="dcterms:W3CDTF">2014-09-10T13:27:07Z</dcterms:created>
  <dcterms:modified xsi:type="dcterms:W3CDTF">2026-01-02T00:24:48Z</dcterms:modified>
</cp:coreProperties>
</file>