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avia\Downloads\"/>
    </mc:Choice>
  </mc:AlternateContent>
  <xr:revisionPtr revIDLastSave="0" documentId="13_ncr:1_{DCCE515D-1DDE-405F-82EA-E0CD604DE62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 1" sheetId="3" r:id="rId1"/>
  </sheets>
  <definedNames>
    <definedName name="Año">'Hoja 1'!$C$75:$C$83</definedName>
    <definedName name="Carga">'Hoja 1'!$B$75:$B$76</definedName>
    <definedName name="Menú_de_horas">'Hoja 1'!$A$73:$A$84</definedName>
    <definedName name="Menú_de_horas_3">'Hoja 1'!$D$69:$D$72</definedName>
    <definedName name="Menú_de_inicio">'Hoja 1'!$A$87:$A$101</definedName>
    <definedName name="Menú_fin">'Hoja 1'!$B$87:$B$108</definedName>
    <definedName name="Menu_horas_2">'Hoja 1'!#REF!</definedName>
    <definedName name="Nivel">'Hoja 1'!$D$92:$D$95</definedName>
    <definedName name="_xlnm.Print_Area" localSheetId="0">'Hoja 1'!$A$1:$F$66</definedName>
    <definedName name="Profesor_Asistente">'Hoja 1'!$D$87:$D$89</definedName>
    <definedName name="Semestre">'Hoja 1'!$B$79:$B$80</definedName>
  </definedNames>
  <calcPr calcId="191029"/>
</workbook>
</file>

<file path=xl/calcChain.xml><?xml version="1.0" encoding="utf-8"?>
<calcChain xmlns="http://schemas.openxmlformats.org/spreadsheetml/2006/main">
  <c r="F54" i="3" l="1"/>
  <c r="F55" i="3"/>
  <c r="C51" i="3" l="1"/>
  <c r="C38" i="3"/>
  <c r="F56" i="3" l="1"/>
  <c r="G77" i="3"/>
  <c r="G75" i="3"/>
</calcChain>
</file>

<file path=xl/sharedStrings.xml><?xml version="1.0" encoding="utf-8"?>
<sst xmlns="http://schemas.openxmlformats.org/spreadsheetml/2006/main" count="146" uniqueCount="139">
  <si>
    <t>Carga horaria</t>
  </si>
  <si>
    <t>Lunes</t>
  </si>
  <si>
    <t>Viernes</t>
  </si>
  <si>
    <t>Menú de horas</t>
  </si>
  <si>
    <t>Menú de inicio</t>
  </si>
  <si>
    <t>Menú fin</t>
  </si>
  <si>
    <t>Martes</t>
  </si>
  <si>
    <t>Miércoles</t>
  </si>
  <si>
    <t>Jueves</t>
  </si>
  <si>
    <t>Categoría</t>
  </si>
  <si>
    <t>Nivel</t>
  </si>
  <si>
    <t>Profesor Asistente</t>
  </si>
  <si>
    <t>Profesor Asociado</t>
  </si>
  <si>
    <t>Profesor</t>
  </si>
  <si>
    <t>TC</t>
  </si>
  <si>
    <t>MT</t>
  </si>
  <si>
    <t>Menú capacitación</t>
  </si>
  <si>
    <t>Programa(s) de formación disciplinar</t>
  </si>
  <si>
    <t>Programa(s) de formación pedagógica</t>
  </si>
  <si>
    <t>Menú de horas 3</t>
  </si>
  <si>
    <t>Medio tiempo</t>
  </si>
  <si>
    <t>Tiempo completo</t>
  </si>
  <si>
    <t>Día</t>
  </si>
  <si>
    <t>A</t>
  </si>
  <si>
    <t>B</t>
  </si>
  <si>
    <t>D</t>
  </si>
  <si>
    <t>C</t>
  </si>
  <si>
    <t>Economía</t>
  </si>
  <si>
    <t>Administración de Empresas</t>
  </si>
  <si>
    <t>Ingeniería Comercial</t>
  </si>
  <si>
    <t>Administración Turística</t>
  </si>
  <si>
    <t>Contaduría Pública</t>
  </si>
  <si>
    <t>Ingeniería Ambiental</t>
  </si>
  <si>
    <t>Ingeniería Industrial</t>
  </si>
  <si>
    <t>Ingeniería Civil</t>
  </si>
  <si>
    <t>Ingeniería Química</t>
  </si>
  <si>
    <t>Ingeniería en Telecomunicaciones</t>
  </si>
  <si>
    <t>Ingeniería Mecatrónica</t>
  </si>
  <si>
    <t>Ingeniería Biomédica</t>
  </si>
  <si>
    <t>Ingeniería de Sistemas</t>
  </si>
  <si>
    <t>Derecho</t>
  </si>
  <si>
    <t>Ciencias Políticas</t>
  </si>
  <si>
    <t>Comunicación Social</t>
  </si>
  <si>
    <t>Psicopedagogía</t>
  </si>
  <si>
    <t>Psicología</t>
  </si>
  <si>
    <t>Arquitectura</t>
  </si>
  <si>
    <t>Diseño Gráfico</t>
  </si>
  <si>
    <t>Asignación</t>
  </si>
  <si>
    <t>Departamento:</t>
  </si>
  <si>
    <t>Docente dedicado a la docencia</t>
  </si>
  <si>
    <t>Docente dedicado a la gestión académica</t>
  </si>
  <si>
    <t>Docente dedicado a la investigación</t>
  </si>
  <si>
    <t>No categorizado</t>
  </si>
  <si>
    <t>PRÁCTICA PRE PROFESIONAL</t>
  </si>
  <si>
    <t>Arquitectura de Interiores</t>
  </si>
  <si>
    <t>Diseño Digital</t>
  </si>
  <si>
    <t>Economía e Inteligencia de Negocios</t>
  </si>
  <si>
    <t>Ingeniería Bioquímica y de Bioprocesos</t>
  </si>
  <si>
    <t>Ingeniería en Innovación Empresarial</t>
  </si>
  <si>
    <t>Marketing y Medios Digitales</t>
  </si>
  <si>
    <t>Centro de Práctica:</t>
  </si>
  <si>
    <t>CANTIDAD DE HORAS</t>
  </si>
  <si>
    <t>AÑO</t>
  </si>
  <si>
    <t>SEMESTRE</t>
  </si>
  <si>
    <t>DIAS</t>
  </si>
  <si>
    <t>SEMANA</t>
  </si>
  <si>
    <t>MES</t>
  </si>
  <si>
    <t>Febrero</t>
  </si>
  <si>
    <t>Marzo</t>
  </si>
  <si>
    <t>Abril</t>
  </si>
  <si>
    <t>Mayo</t>
  </si>
  <si>
    <t>Junio</t>
  </si>
  <si>
    <t>Agosto</t>
  </si>
  <si>
    <t>Julio</t>
  </si>
  <si>
    <t>Septiembre</t>
  </si>
  <si>
    <t>Octubre</t>
  </si>
  <si>
    <t>Noviembre</t>
  </si>
  <si>
    <t>Semestre:</t>
  </si>
  <si>
    <t>Año:</t>
  </si>
  <si>
    <t>Fecha Inicio:</t>
  </si>
  <si>
    <t>Fecha Fin:</t>
  </si>
  <si>
    <t>1.</t>
  </si>
  <si>
    <t>2.</t>
  </si>
  <si>
    <t>3.</t>
  </si>
  <si>
    <t>4.</t>
  </si>
  <si>
    <t>5.</t>
  </si>
  <si>
    <t>6.</t>
  </si>
  <si>
    <t>DETALLE DE TAREAS ASIGNADAS</t>
  </si>
  <si>
    <t>Profesional en formación:</t>
  </si>
  <si>
    <t>Horas trabajadas:</t>
  </si>
  <si>
    <t>7.</t>
  </si>
  <si>
    <t>8.</t>
  </si>
  <si>
    <t>9.</t>
  </si>
  <si>
    <t>10.</t>
  </si>
  <si>
    <t>Aspectos Positivos</t>
  </si>
  <si>
    <t>Aspectos a Mejorar</t>
  </si>
  <si>
    <t>Competencias del Proceso</t>
  </si>
  <si>
    <t>Valoración</t>
  </si>
  <si>
    <t>Justificación</t>
  </si>
  <si>
    <t>VALORACIÓN</t>
  </si>
  <si>
    <t>Principales FORTALEZAS Profesional en formación</t>
  </si>
  <si>
    <t>Firma Profesional en formación</t>
  </si>
  <si>
    <t>Fecha Evaluación:</t>
  </si>
  <si>
    <t>Áreas a FORTALECER del Profesional en formación</t>
  </si>
  <si>
    <t>Firma Tutor(a) Académico(a)</t>
  </si>
  <si>
    <t>Firma Tutor(a) Institucional</t>
  </si>
  <si>
    <t>Tareas encargadas al/a la profesional en formación</t>
  </si>
  <si>
    <t>Tutor(a) Académico(a):</t>
  </si>
  <si>
    <t xml:space="preserve">Tutor(a) Institucional: </t>
  </si>
  <si>
    <t>(V 3.0/2024)</t>
  </si>
  <si>
    <t>CONOCIMIENTOS TÉCNICOS PARA DESARROLLAR LA PRÁCTICA</t>
  </si>
  <si>
    <t>1. El practicante posee los conocimientos técnicos necesarios para las tareas asignadas.</t>
  </si>
  <si>
    <t>2. Aplica correctamente los conocimientos teóricos en la práctica</t>
  </si>
  <si>
    <t>3. Tiene capacidad para identificar y resolver problemas técnicos</t>
  </si>
  <si>
    <t>4. Demuestra habilidades en el uso de herramientas o software especializado</t>
  </si>
  <si>
    <t>5. Se adapta a nuevos procesos o metodologías en el área de trabajo</t>
  </si>
  <si>
    <t>6. Entrega sus trabajos con calidad y precisión</t>
  </si>
  <si>
    <t>7. Muestra iniciativa en la búsqueda de soluciones técnicas</t>
  </si>
  <si>
    <t>8. Sigue adecuadamente los protocolos y normativas de la institución</t>
  </si>
  <si>
    <t>POWER SKILLS (COMPETENCIAS BLANDAS)</t>
  </si>
  <si>
    <t>1. El practicante se comunica de manera clara y efectiva con sus compañeros y superiores.</t>
  </si>
  <si>
    <t>2. Trabaja bien en equipo y contribuye a un ambiente colaborativo.</t>
  </si>
  <si>
    <t>3. Maneja adecuadamente la presión y se adapta a cambios.</t>
  </si>
  <si>
    <t>4. Muestra una actitud proactiva en el desarrollo de sus funciones.</t>
  </si>
  <si>
    <t>5. Es puntual y cumple con los plazos establecidos</t>
  </si>
  <si>
    <t>Detalle</t>
  </si>
  <si>
    <t>6. Es organizado con las tareas asignadas y productos entregados.</t>
  </si>
  <si>
    <t>7. Acepta y aplica retroalimentación de manera positiva.</t>
  </si>
  <si>
    <t>9. Demuestra compromiso con las tareas asignadas.</t>
  </si>
  <si>
    <t>10. Tiene iniciativa para proponer mejoras en el trabajo</t>
  </si>
  <si>
    <t>EVALUACIÓN FINAL</t>
  </si>
  <si>
    <t>TOTAL CALIFICACIÓN</t>
  </si>
  <si>
    <t>TOTAL EVALUACIÓN</t>
  </si>
  <si>
    <t>Total Conocimientos Técnicos</t>
  </si>
  <si>
    <t>Total Power Skills</t>
  </si>
  <si>
    <t>EVALUACIÓN 1: Conocimientos técnicos</t>
  </si>
  <si>
    <t>EVALUACIÓN 2: Power Skills</t>
  </si>
  <si>
    <r>
      <rPr>
        <b/>
        <sz val="10"/>
        <color rgb="FF000000"/>
        <rFont val="Calibri"/>
        <family val="2"/>
      </rPr>
      <t xml:space="preserve">* ESTE FORMULARIO DEBE SER LLENADO DE </t>
    </r>
    <r>
      <rPr>
        <b/>
        <u/>
        <sz val="10"/>
        <color rgb="FF000000"/>
        <rFont val="Calibri"/>
        <family val="2"/>
      </rPr>
      <t>FORMA EXCLUSIVA POR EL SUPERVISOR, ENCARGADO, RESPONSABLE DE LA PRÁCTICA PREPROFESIONAL (TUTOR INSTITUCIONAL)</t>
    </r>
    <r>
      <rPr>
        <b/>
        <sz val="10"/>
        <color rgb="FF000000"/>
        <rFont val="Calibri"/>
        <family val="2"/>
      </rPr>
      <t xml:space="preserve">.  La información brindada ayuda a la U.C.B. a mejorar sus procesos académicos. </t>
    </r>
    <r>
      <rPr>
        <sz val="10"/>
        <color rgb="FF000000"/>
        <rFont val="Calibri"/>
        <family val="2"/>
      </rPr>
      <t xml:space="preserve">                                                                                                                                                                                                            Lea cuidadosamente cada criterio y ponga la calificación del 1 al 4 de acuerdo a: 
- 4 es Totalmente Satisfecho
- 3 es Satisfecho
- 2 es Insatisfecho
- 1  es Muy Insatisfecho</t>
    </r>
  </si>
  <si>
    <t>FORMULARIO DE EVALUACIÓN AL PROFESIONAL EN FORMACIÓN*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</si>
</sst>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h]:mm;@"/>
    <numFmt numFmtId="165" formatCode="#,##0.00\ _€"/>
    <numFmt numFmtId="166" formatCode="[h]:mm"/>
  </numFmts>
  <fonts count="27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9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u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indexed="64"/>
      </top>
      <bottom style="double">
        <color rgb="FF000000"/>
      </bottom>
      <diagonal/>
    </border>
    <border>
      <left/>
      <right/>
      <top style="thin">
        <color indexed="64"/>
      </top>
      <bottom style="double">
        <color rgb="FF000000"/>
      </bottom>
      <diagonal/>
    </border>
    <border>
      <left/>
      <right style="thin">
        <color rgb="FF000000"/>
      </right>
      <top style="thin">
        <color indexed="64"/>
      </top>
      <bottom style="double">
        <color rgb="FF000000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6" fillId="0" borderId="0" xfId="0" applyFont="1"/>
    <xf numFmtId="0" fontId="8" fillId="0" borderId="0" xfId="0" applyFont="1"/>
    <xf numFmtId="164" fontId="8" fillId="0" borderId="0" xfId="0" applyNumberFormat="1" applyFont="1"/>
    <xf numFmtId="0" fontId="11" fillId="0" borderId="0" xfId="0" applyFont="1"/>
    <xf numFmtId="2" fontId="11" fillId="0" borderId="0" xfId="0" applyNumberFormat="1" applyFont="1"/>
    <xf numFmtId="20" fontId="11" fillId="0" borderId="0" xfId="0" applyNumberFormat="1" applyFont="1"/>
    <xf numFmtId="164" fontId="11" fillId="0" borderId="0" xfId="0" applyNumberFormat="1" applyFont="1" applyAlignment="1">
      <alignment horizontal="right" vertical="top"/>
    </xf>
    <xf numFmtId="0" fontId="0" fillId="0" borderId="9" xfId="0" applyBorder="1"/>
    <xf numFmtId="0" fontId="13" fillId="0" borderId="9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49" fontId="14" fillId="0" borderId="12" xfId="0" applyNumberFormat="1" applyFont="1" applyBorder="1" applyAlignment="1" applyProtection="1">
      <alignment horizontal="left" vertical="top" wrapText="1"/>
      <protection locked="0"/>
    </xf>
    <xf numFmtId="49" fontId="14" fillId="0" borderId="0" xfId="0" applyNumberFormat="1" applyFont="1" applyAlignment="1" applyProtection="1">
      <alignment horizontal="left" vertical="top" wrapText="1"/>
      <protection locked="0"/>
    </xf>
    <xf numFmtId="0" fontId="9" fillId="0" borderId="13" xfId="0" applyFont="1" applyBorder="1" applyAlignment="1">
      <alignment horizontal="right" vertical="center"/>
    </xf>
    <xf numFmtId="0" fontId="9" fillId="0" borderId="14" xfId="0" applyFont="1" applyBorder="1" applyAlignment="1">
      <alignment horizontal="right" vertical="center"/>
    </xf>
    <xf numFmtId="164" fontId="9" fillId="0" borderId="15" xfId="0" applyNumberFormat="1" applyFont="1" applyBorder="1" applyAlignment="1">
      <alignment horizontal="right" vertical="top"/>
    </xf>
    <xf numFmtId="165" fontId="11" fillId="0" borderId="0" xfId="0" applyNumberFormat="1" applyFont="1"/>
    <xf numFmtId="0" fontId="3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9" fontId="0" fillId="0" borderId="8" xfId="0" applyNumberFormat="1" applyBorder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center" vertical="center"/>
      <protection locked="0"/>
    </xf>
    <xf numFmtId="0" fontId="9" fillId="0" borderId="16" xfId="0" applyFont="1" applyBorder="1" applyAlignment="1">
      <alignment horizontal="right" vertical="center"/>
    </xf>
    <xf numFmtId="0" fontId="11" fillId="0" borderId="0" xfId="0" applyFont="1" applyAlignment="1">
      <alignment horizontal="center"/>
    </xf>
    <xf numFmtId="49" fontId="0" fillId="0" borderId="3" xfId="0" applyNumberFormat="1" applyBorder="1" applyAlignment="1" applyProtection="1">
      <alignment horizontal="center" vertical="center"/>
      <protection locked="0"/>
    </xf>
    <xf numFmtId="0" fontId="3" fillId="0" borderId="17" xfId="0" applyFont="1" applyBorder="1" applyAlignment="1">
      <alignment horizontal="left" vertical="center"/>
    </xf>
    <xf numFmtId="0" fontId="7" fillId="0" borderId="3" xfId="0" applyFont="1" applyBorder="1" applyAlignment="1" applyProtection="1">
      <alignment horizontal="center" vertical="center"/>
      <protection locked="0"/>
    </xf>
    <xf numFmtId="49" fontId="5" fillId="0" borderId="1" xfId="0" applyNumberFormat="1" applyFont="1" applyBorder="1" applyAlignment="1" applyProtection="1">
      <alignment horizontal="left" vertical="center"/>
      <protection locked="0"/>
    </xf>
    <xf numFmtId="49" fontId="5" fillId="0" borderId="2" xfId="0" applyNumberFormat="1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49" fontId="5" fillId="0" borderId="9" xfId="0" applyNumberFormat="1" applyFont="1" applyBorder="1" applyAlignment="1" applyProtection="1">
      <alignment vertical="center"/>
      <protection locked="0"/>
    </xf>
    <xf numFmtId="49" fontId="5" fillId="0" borderId="7" xfId="0" applyNumberFormat="1" applyFont="1" applyBorder="1" applyAlignment="1" applyProtection="1">
      <alignment vertical="center"/>
      <protection locked="0"/>
    </xf>
    <xf numFmtId="49" fontId="14" fillId="0" borderId="2" xfId="0" applyNumberFormat="1" applyFont="1" applyBorder="1" applyAlignment="1" applyProtection="1">
      <alignment horizontal="left" vertical="top" wrapText="1"/>
      <protection locked="0"/>
    </xf>
    <xf numFmtId="49" fontId="14" fillId="0" borderId="3" xfId="0" applyNumberFormat="1" applyFont="1" applyBorder="1" applyAlignment="1" applyProtection="1">
      <alignment horizontal="left" vertical="top" wrapText="1"/>
      <protection locked="0"/>
    </xf>
    <xf numFmtId="0" fontId="0" fillId="0" borderId="0" xfId="0" applyAlignment="1">
      <alignment horizontal="center"/>
    </xf>
    <xf numFmtId="164" fontId="9" fillId="0" borderId="16" xfId="0" applyNumberFormat="1" applyFont="1" applyBorder="1" applyAlignment="1">
      <alignment horizontal="right" vertical="top"/>
    </xf>
    <xf numFmtId="0" fontId="3" fillId="0" borderId="20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16" fillId="0" borderId="0" xfId="0" applyFont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49" fontId="14" fillId="0" borderId="5" xfId="0" applyNumberFormat="1" applyFont="1" applyBorder="1" applyAlignment="1" applyProtection="1">
      <alignment horizontal="left" vertical="top" wrapText="1"/>
      <protection locked="0"/>
    </xf>
    <xf numFmtId="0" fontId="3" fillId="0" borderId="0" xfId="0" applyFont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/>
    </xf>
    <xf numFmtId="0" fontId="18" fillId="0" borderId="17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left" vertical="center" wrapText="1"/>
    </xf>
    <xf numFmtId="0" fontId="17" fillId="0" borderId="16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/>
    </xf>
    <xf numFmtId="0" fontId="24" fillId="0" borderId="28" xfId="0" applyFont="1" applyBorder="1" applyAlignment="1">
      <alignment vertical="center"/>
    </xf>
    <xf numFmtId="166" fontId="19" fillId="0" borderId="29" xfId="0" applyNumberFormat="1" applyFont="1" applyBorder="1" applyAlignment="1">
      <alignment vertical="top"/>
    </xf>
    <xf numFmtId="0" fontId="23" fillId="0" borderId="25" xfId="0" applyFont="1" applyBorder="1" applyAlignment="1">
      <alignment vertical="center"/>
    </xf>
    <xf numFmtId="0" fontId="22" fillId="0" borderId="26" xfId="0" applyFont="1" applyBorder="1"/>
    <xf numFmtId="0" fontId="17" fillId="0" borderId="20" xfId="0" applyFont="1" applyBorder="1" applyAlignment="1">
      <alignment horizontal="center" vertical="center" wrapText="1"/>
    </xf>
    <xf numFmtId="0" fontId="21" fillId="0" borderId="33" xfId="0" applyFont="1" applyBorder="1" applyAlignment="1">
      <alignment horizontal="center" vertical="center" wrapText="1"/>
    </xf>
    <xf numFmtId="1" fontId="19" fillId="0" borderId="30" xfId="0" applyNumberFormat="1" applyFont="1" applyBorder="1" applyAlignment="1">
      <alignment horizontal="center" vertical="center"/>
    </xf>
    <xf numFmtId="1" fontId="23" fillId="0" borderId="33" xfId="0" applyNumberFormat="1" applyFont="1" applyBorder="1" applyAlignment="1">
      <alignment horizontal="center" vertical="center"/>
    </xf>
    <xf numFmtId="49" fontId="14" fillId="0" borderId="2" xfId="0" applyNumberFormat="1" applyFont="1" applyBorder="1" applyAlignment="1" applyProtection="1">
      <alignment horizontal="left" vertical="top" wrapText="1"/>
      <protection locked="0"/>
    </xf>
    <xf numFmtId="49" fontId="14" fillId="0" borderId="3" xfId="0" applyNumberFormat="1" applyFont="1" applyBorder="1" applyAlignment="1" applyProtection="1">
      <alignment horizontal="left" vertical="top" wrapText="1"/>
      <protection locked="0"/>
    </xf>
    <xf numFmtId="0" fontId="12" fillId="0" borderId="12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center" wrapText="1"/>
    </xf>
    <xf numFmtId="0" fontId="25" fillId="0" borderId="36" xfId="0" applyFont="1" applyBorder="1" applyAlignment="1">
      <alignment horizontal="center" vertical="center" wrapText="1"/>
    </xf>
    <xf numFmtId="0" fontId="25" fillId="0" borderId="37" xfId="0" applyFont="1" applyBorder="1" applyAlignment="1">
      <alignment horizontal="center" vertical="center" wrapText="1"/>
    </xf>
    <xf numFmtId="0" fontId="25" fillId="0" borderId="38" xfId="0" applyFont="1" applyBorder="1" applyAlignment="1">
      <alignment horizontal="center" vertical="center" wrapText="1"/>
    </xf>
    <xf numFmtId="0" fontId="25" fillId="0" borderId="34" xfId="0" applyFont="1" applyBorder="1" applyAlignment="1">
      <alignment horizontal="center" vertical="center" wrapText="1"/>
    </xf>
    <xf numFmtId="0" fontId="22" fillId="0" borderId="35" xfId="0" applyFont="1" applyBorder="1"/>
    <xf numFmtId="0" fontId="4" fillId="0" borderId="1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top" wrapText="1"/>
    </xf>
    <xf numFmtId="49" fontId="0" fillId="0" borderId="12" xfId="0" applyNumberFormat="1" applyBorder="1" applyAlignment="1" applyProtection="1">
      <alignment horizontal="center" vertical="center"/>
      <protection locked="0"/>
    </xf>
    <xf numFmtId="49" fontId="0" fillId="0" borderId="18" xfId="0" applyNumberFormat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/>
    </xf>
    <xf numFmtId="0" fontId="22" fillId="0" borderId="32" xfId="0" applyFont="1" applyBorder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1" fillId="0" borderId="12" xfId="0" applyFont="1" applyBorder="1" applyAlignment="1">
      <alignment horizontal="center" vertical="center" wrapText="1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3" xfId="0" applyNumberFormat="1" applyBorder="1" applyAlignment="1" applyProtection="1">
      <alignment horizontal="left" vertical="center"/>
      <protection locked="0"/>
    </xf>
    <xf numFmtId="0" fontId="1" fillId="0" borderId="5" xfId="0" applyFont="1" applyBorder="1" applyAlignment="1">
      <alignment horizontal="center" vertical="center" wrapText="1"/>
    </xf>
    <xf numFmtId="0" fontId="4" fillId="0" borderId="12" xfId="0" applyFont="1" applyBorder="1" applyAlignment="1" applyProtection="1">
      <alignment horizontal="center" vertical="center"/>
      <protection locked="0"/>
    </xf>
    <xf numFmtId="0" fontId="4" fillId="0" borderId="18" xfId="0" applyFont="1" applyBorder="1" applyAlignment="1" applyProtection="1">
      <alignment horizontal="center" vertical="center"/>
      <protection locked="0"/>
    </xf>
    <xf numFmtId="0" fontId="20" fillId="0" borderId="22" xfId="0" applyFont="1" applyBorder="1" applyAlignment="1">
      <alignment horizontal="left" vertical="center" wrapText="1"/>
    </xf>
    <xf numFmtId="0" fontId="22" fillId="0" borderId="23" xfId="0" applyFont="1" applyBorder="1"/>
    <xf numFmtId="0" fontId="22" fillId="0" borderId="24" xfId="0" applyFont="1" applyBorder="1"/>
    <xf numFmtId="0" fontId="5" fillId="0" borderId="19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ED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919841</xdr:colOff>
      <xdr:row>0</xdr:row>
      <xdr:rowOff>29703</xdr:rowOff>
    </xdr:from>
    <xdr:to>
      <xdr:col>4</xdr:col>
      <xdr:colOff>124558</xdr:colOff>
      <xdr:row>1</xdr:row>
      <xdr:rowOff>302846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3764" y="29703"/>
          <a:ext cx="2919467" cy="11523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0"/>
  <sheetViews>
    <sheetView showGridLines="0" tabSelected="1" topLeftCell="A49" zoomScale="130" zoomScaleNormal="130" workbookViewId="0">
      <selection activeCell="C38" sqref="C38"/>
    </sheetView>
  </sheetViews>
  <sheetFormatPr defaultColWidth="11.42578125" defaultRowHeight="15" x14ac:dyDescent="0.25"/>
  <cols>
    <col min="1" max="1" width="17.7109375" customWidth="1"/>
    <col min="2" max="2" width="18" customWidth="1"/>
    <col min="3" max="3" width="14.28515625" customWidth="1"/>
    <col min="4" max="4" width="17.5703125" customWidth="1"/>
    <col min="5" max="5" width="17" customWidth="1"/>
    <col min="6" max="6" width="20.5703125" customWidth="1"/>
    <col min="7" max="7" width="5.42578125" customWidth="1"/>
  </cols>
  <sheetData>
    <row r="1" spans="1:7" ht="69.75" customHeight="1" x14ac:dyDescent="0.25">
      <c r="A1" s="94"/>
      <c r="B1" s="94"/>
      <c r="C1" s="94"/>
      <c r="D1" s="94"/>
      <c r="E1" s="94"/>
      <c r="F1" s="95"/>
    </row>
    <row r="2" spans="1:7" ht="25.5" customHeight="1" x14ac:dyDescent="0.25">
      <c r="A2" s="96"/>
      <c r="B2" s="97"/>
      <c r="C2" s="97"/>
      <c r="D2" s="97"/>
      <c r="E2" s="97"/>
      <c r="F2" s="97"/>
    </row>
    <row r="3" spans="1:7" ht="23.1" customHeight="1" x14ac:dyDescent="0.25">
      <c r="A3" s="98" t="s">
        <v>138</v>
      </c>
      <c r="B3" s="98"/>
      <c r="C3" s="98"/>
      <c r="D3" s="98"/>
      <c r="E3" s="98"/>
      <c r="F3" s="98"/>
    </row>
    <row r="4" spans="1:7" ht="23.1" customHeight="1" x14ac:dyDescent="0.25">
      <c r="A4" s="103" t="s">
        <v>53</v>
      </c>
      <c r="B4" s="103"/>
      <c r="C4" s="103"/>
      <c r="D4" s="103"/>
      <c r="E4" s="103"/>
      <c r="F4" s="103"/>
    </row>
    <row r="5" spans="1:7" ht="15.75" thickBot="1" x14ac:dyDescent="0.3">
      <c r="A5" s="8"/>
      <c r="B5" s="8"/>
      <c r="C5" s="8"/>
      <c r="D5" s="8"/>
      <c r="E5" s="8"/>
      <c r="F5" s="9" t="s">
        <v>109</v>
      </c>
    </row>
    <row r="6" spans="1:7" ht="14.25" customHeight="1" thickTop="1" x14ac:dyDescent="0.25">
      <c r="A6" s="109" t="s">
        <v>88</v>
      </c>
      <c r="B6" s="110"/>
      <c r="C6" s="111"/>
      <c r="D6" s="111"/>
      <c r="E6" s="111"/>
      <c r="F6" s="112"/>
      <c r="G6" s="35"/>
    </row>
    <row r="7" spans="1:7" x14ac:dyDescent="0.25">
      <c r="A7" s="48" t="s">
        <v>107</v>
      </c>
      <c r="B7" s="101"/>
      <c r="C7" s="102"/>
      <c r="D7" s="18" t="s">
        <v>48</v>
      </c>
      <c r="E7" s="99"/>
      <c r="F7" s="100"/>
    </row>
    <row r="8" spans="1:7" x14ac:dyDescent="0.25">
      <c r="A8" s="49" t="s">
        <v>108</v>
      </c>
      <c r="B8" s="88"/>
      <c r="C8" s="89"/>
      <c r="D8" s="25" t="s">
        <v>60</v>
      </c>
      <c r="E8" s="104"/>
      <c r="F8" s="105"/>
    </row>
    <row r="9" spans="1:7" x14ac:dyDescent="0.25">
      <c r="A9" s="19" t="s">
        <v>77</v>
      </c>
      <c r="B9" s="26"/>
      <c r="C9" s="27" t="s">
        <v>78</v>
      </c>
      <c r="D9" s="26"/>
      <c r="E9" s="28" t="s">
        <v>89</v>
      </c>
      <c r="F9" s="24"/>
    </row>
    <row r="10" spans="1:7" ht="15.75" thickBot="1" x14ac:dyDescent="0.3">
      <c r="A10" s="29" t="s">
        <v>79</v>
      </c>
      <c r="B10" s="30"/>
      <c r="C10" s="32" t="s">
        <v>80</v>
      </c>
      <c r="D10" s="31"/>
      <c r="E10" s="32" t="s">
        <v>102</v>
      </c>
      <c r="F10" s="20"/>
    </row>
    <row r="11" spans="1:7" ht="16.5" thickTop="1" thickBot="1" x14ac:dyDescent="0.3">
      <c r="A11" s="21"/>
      <c r="B11" s="21"/>
      <c r="C11" s="21"/>
      <c r="D11" s="21"/>
      <c r="E11" s="21"/>
      <c r="F11" s="21"/>
    </row>
    <row r="12" spans="1:7" ht="89.25" customHeight="1" thickTop="1" thickBot="1" x14ac:dyDescent="0.3">
      <c r="A12" s="106" t="s">
        <v>137</v>
      </c>
      <c r="B12" s="107"/>
      <c r="C12" s="107"/>
      <c r="D12" s="107"/>
      <c r="E12" s="107"/>
      <c r="F12" s="108"/>
    </row>
    <row r="13" spans="1:7" ht="7.5" customHeight="1" thickTop="1" thickBot="1" x14ac:dyDescent="0.3">
      <c r="A13" s="14"/>
      <c r="B13" s="15"/>
      <c r="C13" s="15"/>
      <c r="D13" s="15"/>
      <c r="E13" s="15"/>
      <c r="F13" s="16"/>
    </row>
    <row r="14" spans="1:7" ht="26.1" customHeight="1" thickTop="1" x14ac:dyDescent="0.25">
      <c r="A14" s="68" t="s">
        <v>87</v>
      </c>
      <c r="B14" s="69"/>
      <c r="C14" s="69"/>
      <c r="D14" s="69"/>
      <c r="E14" s="69"/>
      <c r="F14" s="70"/>
    </row>
    <row r="15" spans="1:7" ht="29.25" customHeight="1" x14ac:dyDescent="0.25">
      <c r="A15" s="71" t="s">
        <v>106</v>
      </c>
      <c r="B15" s="71"/>
      <c r="C15" s="72" t="s">
        <v>94</v>
      </c>
      <c r="D15" s="73"/>
      <c r="E15" s="72" t="s">
        <v>95</v>
      </c>
      <c r="F15" s="74"/>
    </row>
    <row r="16" spans="1:7" x14ac:dyDescent="0.25">
      <c r="A16" s="83" t="s">
        <v>81</v>
      </c>
      <c r="B16" s="84"/>
      <c r="C16" s="72"/>
      <c r="D16" s="73"/>
      <c r="E16" s="72"/>
      <c r="F16" s="74"/>
    </row>
    <row r="17" spans="1:6" x14ac:dyDescent="0.25">
      <c r="A17" s="83" t="s">
        <v>82</v>
      </c>
      <c r="B17" s="84"/>
      <c r="C17" s="72"/>
      <c r="D17" s="73"/>
      <c r="E17" s="72"/>
      <c r="F17" s="74"/>
    </row>
    <row r="18" spans="1:6" x14ac:dyDescent="0.25">
      <c r="A18" s="83" t="s">
        <v>83</v>
      </c>
      <c r="B18" s="84"/>
      <c r="C18" s="72"/>
      <c r="D18" s="73"/>
      <c r="E18" s="72"/>
      <c r="F18" s="74"/>
    </row>
    <row r="19" spans="1:6" x14ac:dyDescent="0.25">
      <c r="A19" s="83" t="s">
        <v>84</v>
      </c>
      <c r="B19" s="84"/>
      <c r="C19" s="72"/>
      <c r="D19" s="73"/>
      <c r="E19" s="72"/>
      <c r="F19" s="74"/>
    </row>
    <row r="20" spans="1:6" x14ac:dyDescent="0.25">
      <c r="A20" s="83" t="s">
        <v>85</v>
      </c>
      <c r="B20" s="84"/>
      <c r="C20" s="72"/>
      <c r="D20" s="73"/>
      <c r="E20" s="72"/>
      <c r="F20" s="74"/>
    </row>
    <row r="21" spans="1:6" x14ac:dyDescent="0.25">
      <c r="A21" s="83" t="s">
        <v>86</v>
      </c>
      <c r="B21" s="84"/>
      <c r="C21" s="72"/>
      <c r="D21" s="73"/>
      <c r="E21" s="72"/>
      <c r="F21" s="74"/>
    </row>
    <row r="22" spans="1:6" x14ac:dyDescent="0.25">
      <c r="A22" s="83" t="s">
        <v>90</v>
      </c>
      <c r="B22" s="84"/>
      <c r="C22" s="72"/>
      <c r="D22" s="73"/>
      <c r="E22" s="72"/>
      <c r="F22" s="74"/>
    </row>
    <row r="23" spans="1:6" x14ac:dyDescent="0.25">
      <c r="A23" s="83" t="s">
        <v>91</v>
      </c>
      <c r="B23" s="84"/>
      <c r="C23" s="72"/>
      <c r="D23" s="73"/>
      <c r="E23" s="72"/>
      <c r="F23" s="74"/>
    </row>
    <row r="24" spans="1:6" x14ac:dyDescent="0.25">
      <c r="A24" s="83" t="s">
        <v>92</v>
      </c>
      <c r="B24" s="84"/>
      <c r="C24" s="72"/>
      <c r="D24" s="73"/>
      <c r="E24" s="72"/>
      <c r="F24" s="74"/>
    </row>
    <row r="25" spans="1:6" x14ac:dyDescent="0.25">
      <c r="A25" s="83" t="s">
        <v>93</v>
      </c>
      <c r="B25" s="84"/>
      <c r="C25" s="72"/>
      <c r="D25" s="73"/>
      <c r="E25" s="72"/>
      <c r="F25" s="74"/>
    </row>
    <row r="26" spans="1:6" ht="15.75" thickBot="1" x14ac:dyDescent="0.3">
      <c r="A26" s="85"/>
      <c r="B26" s="86"/>
      <c r="C26" s="85"/>
      <c r="D26" s="86"/>
      <c r="E26" s="85"/>
      <c r="F26" s="91"/>
    </row>
    <row r="27" spans="1:6" ht="8.25" customHeight="1" thickTop="1" thickBot="1" x14ac:dyDescent="0.3">
      <c r="A27" s="22"/>
      <c r="B27" s="22"/>
      <c r="C27" s="22"/>
      <c r="D27" s="22"/>
      <c r="E27" s="22"/>
      <c r="F27" s="36"/>
    </row>
    <row r="28" spans="1:6" ht="26.1" customHeight="1" thickTop="1" x14ac:dyDescent="0.25">
      <c r="A28" s="68" t="s">
        <v>110</v>
      </c>
      <c r="B28" s="69"/>
      <c r="C28" s="69"/>
      <c r="D28" s="69"/>
      <c r="E28" s="69"/>
      <c r="F28" s="70"/>
    </row>
    <row r="29" spans="1:6" ht="15" customHeight="1" x14ac:dyDescent="0.25">
      <c r="A29" s="71" t="s">
        <v>96</v>
      </c>
      <c r="B29" s="71"/>
      <c r="C29" s="37" t="s">
        <v>97</v>
      </c>
      <c r="D29" s="72" t="s">
        <v>98</v>
      </c>
      <c r="E29" s="73"/>
      <c r="F29" s="74"/>
    </row>
    <row r="30" spans="1:6" ht="30" customHeight="1" x14ac:dyDescent="0.25">
      <c r="A30" s="75" t="s">
        <v>111</v>
      </c>
      <c r="B30" s="76"/>
      <c r="C30" s="47">
        <v>4</v>
      </c>
      <c r="D30" s="72"/>
      <c r="E30" s="73"/>
      <c r="F30" s="74"/>
    </row>
    <row r="31" spans="1:6" ht="25.5" customHeight="1" x14ac:dyDescent="0.25">
      <c r="A31" s="75" t="s">
        <v>112</v>
      </c>
      <c r="B31" s="76"/>
      <c r="C31" s="47">
        <v>4</v>
      </c>
      <c r="D31" s="72"/>
      <c r="E31" s="73"/>
      <c r="F31" s="74"/>
    </row>
    <row r="32" spans="1:6" ht="24.75" customHeight="1" x14ac:dyDescent="0.25">
      <c r="A32" s="75" t="s">
        <v>113</v>
      </c>
      <c r="B32" s="76"/>
      <c r="C32" s="47">
        <v>4</v>
      </c>
      <c r="D32" s="72"/>
      <c r="E32" s="73"/>
      <c r="F32" s="74"/>
    </row>
    <row r="33" spans="1:10" ht="27.75" customHeight="1" x14ac:dyDescent="0.25">
      <c r="A33" s="75" t="s">
        <v>114</v>
      </c>
      <c r="B33" s="76"/>
      <c r="C33" s="47">
        <v>4</v>
      </c>
      <c r="D33" s="72"/>
      <c r="E33" s="73"/>
      <c r="F33" s="74"/>
    </row>
    <row r="34" spans="1:10" ht="28.5" customHeight="1" x14ac:dyDescent="0.25">
      <c r="A34" s="75" t="s">
        <v>115</v>
      </c>
      <c r="B34" s="76"/>
      <c r="C34" s="47">
        <v>4</v>
      </c>
      <c r="D34" s="72"/>
      <c r="E34" s="73"/>
      <c r="F34" s="74"/>
    </row>
    <row r="35" spans="1:10" ht="26.25" customHeight="1" x14ac:dyDescent="0.25">
      <c r="A35" s="75" t="s">
        <v>116</v>
      </c>
      <c r="B35" s="76"/>
      <c r="C35" s="47">
        <v>4</v>
      </c>
      <c r="D35" s="72"/>
      <c r="E35" s="73"/>
      <c r="F35" s="74"/>
    </row>
    <row r="36" spans="1:10" ht="27" customHeight="1" x14ac:dyDescent="0.25">
      <c r="A36" s="75" t="s">
        <v>117</v>
      </c>
      <c r="B36" s="76"/>
      <c r="C36" s="47">
        <v>4</v>
      </c>
      <c r="D36" s="72"/>
      <c r="E36" s="73"/>
      <c r="F36" s="74"/>
    </row>
    <row r="37" spans="1:10" ht="30.75" customHeight="1" x14ac:dyDescent="0.25">
      <c r="A37" s="77" t="s">
        <v>118</v>
      </c>
      <c r="B37" s="77"/>
      <c r="C37" s="61">
        <v>4</v>
      </c>
      <c r="D37" s="71"/>
      <c r="E37" s="71"/>
      <c r="F37" s="71"/>
    </row>
    <row r="38" spans="1:10" ht="30.75" customHeight="1" thickBot="1" x14ac:dyDescent="0.3">
      <c r="A38" s="81" t="s">
        <v>133</v>
      </c>
      <c r="B38" s="82"/>
      <c r="C38" s="62">
        <f>SUM(C30:C37)</f>
        <v>32</v>
      </c>
      <c r="D38" s="78"/>
      <c r="E38" s="79"/>
      <c r="F38" s="80"/>
    </row>
    <row r="39" spans="1:10" ht="11.25" customHeight="1" thickTop="1" thickBot="1" x14ac:dyDescent="0.3">
      <c r="A39" s="2"/>
      <c r="B39" s="2"/>
      <c r="C39" s="2"/>
      <c r="D39" s="2"/>
      <c r="E39" s="2"/>
      <c r="F39" s="3"/>
      <c r="G39" s="2"/>
      <c r="H39" s="1"/>
      <c r="I39" s="1"/>
      <c r="J39" s="1"/>
    </row>
    <row r="40" spans="1:10" ht="26.1" customHeight="1" thickTop="1" x14ac:dyDescent="0.25">
      <c r="A40" s="68" t="s">
        <v>119</v>
      </c>
      <c r="B40" s="69"/>
      <c r="C40" s="69"/>
      <c r="D40" s="69"/>
      <c r="E40" s="69"/>
      <c r="F40" s="70"/>
    </row>
    <row r="41" spans="1:10" ht="15" customHeight="1" x14ac:dyDescent="0.25">
      <c r="A41" s="71" t="s">
        <v>125</v>
      </c>
      <c r="B41" s="71"/>
      <c r="C41" s="37" t="s">
        <v>97</v>
      </c>
      <c r="D41" s="72" t="s">
        <v>98</v>
      </c>
      <c r="E41" s="73"/>
      <c r="F41" s="74"/>
    </row>
    <row r="42" spans="1:10" ht="31.5" customHeight="1" x14ac:dyDescent="0.25">
      <c r="A42" s="75" t="s">
        <v>120</v>
      </c>
      <c r="B42" s="76"/>
      <c r="C42" s="47">
        <v>4</v>
      </c>
      <c r="D42" s="72"/>
      <c r="E42" s="73"/>
      <c r="F42" s="74"/>
    </row>
    <row r="43" spans="1:10" ht="29.25" customHeight="1" x14ac:dyDescent="0.25">
      <c r="A43" s="75" t="s">
        <v>121</v>
      </c>
      <c r="B43" s="76"/>
      <c r="C43" s="47">
        <v>4</v>
      </c>
      <c r="D43" s="72"/>
      <c r="E43" s="73"/>
      <c r="F43" s="74"/>
    </row>
    <row r="44" spans="1:10" ht="26.25" customHeight="1" x14ac:dyDescent="0.25">
      <c r="A44" s="75" t="s">
        <v>122</v>
      </c>
      <c r="B44" s="76"/>
      <c r="C44" s="47">
        <v>4</v>
      </c>
      <c r="D44" s="72"/>
      <c r="E44" s="73"/>
      <c r="F44" s="74"/>
    </row>
    <row r="45" spans="1:10" ht="26.25" customHeight="1" x14ac:dyDescent="0.25">
      <c r="A45" s="75" t="s">
        <v>123</v>
      </c>
      <c r="B45" s="76"/>
      <c r="C45" s="47">
        <v>4</v>
      </c>
      <c r="D45" s="72"/>
      <c r="E45" s="73"/>
      <c r="F45" s="74"/>
    </row>
    <row r="46" spans="1:10" ht="27.75" customHeight="1" x14ac:dyDescent="0.25">
      <c r="A46" s="75" t="s">
        <v>124</v>
      </c>
      <c r="B46" s="76"/>
      <c r="C46" s="47">
        <v>4</v>
      </c>
      <c r="D46" s="72"/>
      <c r="E46" s="73"/>
      <c r="F46" s="74"/>
    </row>
    <row r="47" spans="1:10" ht="27.75" customHeight="1" x14ac:dyDescent="0.25">
      <c r="A47" s="75" t="s">
        <v>126</v>
      </c>
      <c r="B47" s="76"/>
      <c r="C47" s="47">
        <v>4</v>
      </c>
      <c r="D47" s="50"/>
      <c r="E47" s="51"/>
      <c r="F47" s="52"/>
    </row>
    <row r="48" spans="1:10" ht="26.25" customHeight="1" x14ac:dyDescent="0.25">
      <c r="A48" s="75" t="s">
        <v>127</v>
      </c>
      <c r="B48" s="76"/>
      <c r="C48" s="47">
        <v>4</v>
      </c>
      <c r="D48" s="72"/>
      <c r="E48" s="73"/>
      <c r="F48" s="74"/>
    </row>
    <row r="49" spans="1:10" ht="26.25" customHeight="1" x14ac:dyDescent="0.25">
      <c r="A49" s="75" t="s">
        <v>128</v>
      </c>
      <c r="B49" s="76"/>
      <c r="C49" s="47">
        <v>4</v>
      </c>
      <c r="D49" s="72"/>
      <c r="E49" s="73"/>
      <c r="F49" s="74"/>
    </row>
    <row r="50" spans="1:10" ht="29.25" customHeight="1" x14ac:dyDescent="0.25">
      <c r="A50" s="77" t="s">
        <v>129</v>
      </c>
      <c r="B50" s="77"/>
      <c r="C50" s="47">
        <v>4</v>
      </c>
      <c r="D50" s="71"/>
      <c r="E50" s="71"/>
      <c r="F50" s="71"/>
    </row>
    <row r="51" spans="1:10" ht="29.25" customHeight="1" thickBot="1" x14ac:dyDescent="0.3">
      <c r="A51" s="81" t="s">
        <v>134</v>
      </c>
      <c r="B51" s="82"/>
      <c r="C51" s="62">
        <f>SUM(C42:C50)</f>
        <v>36</v>
      </c>
      <c r="D51" s="78"/>
      <c r="E51" s="79"/>
      <c r="F51" s="80"/>
    </row>
    <row r="52" spans="1:10" ht="16.5" thickTop="1" thickBot="1" x14ac:dyDescent="0.3">
      <c r="A52" s="53"/>
      <c r="B52" s="53"/>
      <c r="C52" s="54"/>
      <c r="D52" s="55"/>
      <c r="E52" s="55"/>
      <c r="F52" s="55"/>
    </row>
    <row r="53" spans="1:10" ht="15.75" thickTop="1" x14ac:dyDescent="0.25">
      <c r="A53" s="59" t="s">
        <v>130</v>
      </c>
      <c r="B53" s="60"/>
      <c r="C53" s="60"/>
      <c r="D53" s="60"/>
      <c r="E53" s="60"/>
      <c r="F53" s="56" t="s">
        <v>131</v>
      </c>
    </row>
    <row r="54" spans="1:10" x14ac:dyDescent="0.25">
      <c r="A54" s="57" t="s">
        <v>135</v>
      </c>
      <c r="B54" s="58"/>
      <c r="C54" s="58"/>
      <c r="D54" s="58"/>
      <c r="E54" s="58"/>
      <c r="F54" s="63">
        <f>C38*2</f>
        <v>64</v>
      </c>
    </row>
    <row r="55" spans="1:10" x14ac:dyDescent="0.25">
      <c r="A55" s="57" t="s">
        <v>136</v>
      </c>
      <c r="B55" s="58"/>
      <c r="C55" s="58"/>
      <c r="D55" s="58"/>
      <c r="E55" s="58"/>
      <c r="F55" s="63">
        <f>C51</f>
        <v>36</v>
      </c>
    </row>
    <row r="56" spans="1:10" ht="15.75" thickBot="1" x14ac:dyDescent="0.3">
      <c r="A56" s="92" t="s">
        <v>132</v>
      </c>
      <c r="B56" s="93"/>
      <c r="C56" s="93"/>
      <c r="D56" s="93"/>
      <c r="E56" s="93"/>
      <c r="F56" s="64">
        <f>SUM(F54:F55)</f>
        <v>100</v>
      </c>
    </row>
    <row r="57" spans="1:10" ht="11.25" customHeight="1" thickTop="1" x14ac:dyDescent="0.25">
      <c r="A57" s="38"/>
      <c r="B57" s="39"/>
      <c r="C57" s="40"/>
      <c r="D57" s="45"/>
      <c r="E57" s="45"/>
      <c r="F57" s="46"/>
    </row>
    <row r="58" spans="1:10" ht="72.75" customHeight="1" x14ac:dyDescent="0.25">
      <c r="A58" s="10" t="s">
        <v>100</v>
      </c>
      <c r="B58" s="65"/>
      <c r="C58" s="65"/>
      <c r="D58" s="65"/>
      <c r="E58" s="65"/>
      <c r="F58" s="66"/>
      <c r="G58" s="2"/>
      <c r="H58" s="1"/>
      <c r="I58" s="1"/>
      <c r="J58" s="1"/>
    </row>
    <row r="59" spans="1:10" ht="9.75" customHeight="1" x14ac:dyDescent="0.25">
      <c r="A59" s="10"/>
      <c r="B59" s="33"/>
      <c r="C59" s="33"/>
      <c r="D59" s="33"/>
      <c r="E59" s="33"/>
      <c r="F59" s="34"/>
      <c r="G59" s="2"/>
      <c r="H59" s="1"/>
      <c r="I59" s="1"/>
      <c r="J59" s="1"/>
    </row>
    <row r="60" spans="1:10" ht="74.25" customHeight="1" x14ac:dyDescent="0.25">
      <c r="A60" s="10" t="s">
        <v>103</v>
      </c>
      <c r="B60" s="65"/>
      <c r="C60" s="65"/>
      <c r="D60" s="65"/>
      <c r="E60" s="65"/>
      <c r="F60" s="66"/>
      <c r="G60" s="2"/>
      <c r="H60" s="1"/>
      <c r="I60" s="1"/>
      <c r="J60" s="1"/>
    </row>
    <row r="61" spans="1:10" ht="38.25" customHeight="1" x14ac:dyDescent="0.25">
      <c r="A61" s="11"/>
      <c r="B61" s="12"/>
      <c r="C61" s="12"/>
      <c r="D61" s="12"/>
      <c r="E61" s="12"/>
      <c r="F61" s="12"/>
      <c r="G61" s="2"/>
      <c r="H61" s="1"/>
      <c r="I61" s="1"/>
      <c r="J61" s="1"/>
    </row>
    <row r="62" spans="1:10" ht="21.75" customHeight="1" x14ac:dyDescent="0.25">
      <c r="A62" s="43"/>
      <c r="B62" s="44"/>
      <c r="C62" s="13"/>
      <c r="D62" s="44"/>
      <c r="E62" s="44"/>
      <c r="F62" s="44"/>
      <c r="G62" s="2"/>
      <c r="H62" s="1"/>
      <c r="I62" s="1"/>
      <c r="J62" s="1"/>
    </row>
    <row r="63" spans="1:10" s="4" customFormat="1" ht="19.5" customHeight="1" x14ac:dyDescent="0.25">
      <c r="A63" s="90" t="s">
        <v>104</v>
      </c>
      <c r="B63" s="90"/>
      <c r="C63" s="13"/>
      <c r="D63" s="90" t="s">
        <v>105</v>
      </c>
      <c r="E63" s="90"/>
      <c r="F63" s="90"/>
    </row>
    <row r="64" spans="1:10" s="4" customFormat="1" ht="36" customHeight="1" x14ac:dyDescent="0.25">
      <c r="A64" s="42"/>
      <c r="B64" s="42"/>
      <c r="C64" s="13"/>
      <c r="D64" s="42"/>
      <c r="E64" s="42"/>
      <c r="F64" s="42"/>
    </row>
    <row r="65" spans="1:8" s="4" customFormat="1" ht="19.5" customHeight="1" x14ac:dyDescent="0.25">
      <c r="A65" s="42"/>
      <c r="B65" s="42"/>
      <c r="C65" s="67" t="s">
        <v>101</v>
      </c>
      <c r="D65" s="67"/>
      <c r="E65" s="42"/>
      <c r="F65" s="42"/>
    </row>
    <row r="66" spans="1:8" s="4" customFormat="1" x14ac:dyDescent="0.25">
      <c r="A66" s="87"/>
      <c r="B66" s="87"/>
      <c r="C66" s="87"/>
      <c r="D66" s="87"/>
      <c r="E66" s="87"/>
      <c r="F66" s="87"/>
    </row>
    <row r="67" spans="1:8" s="4" customFormat="1" x14ac:dyDescent="0.25">
      <c r="H67" s="4" t="s">
        <v>28</v>
      </c>
    </row>
    <row r="68" spans="1:8" s="4" customFormat="1" x14ac:dyDescent="0.25">
      <c r="D68" s="4" t="s">
        <v>19</v>
      </c>
      <c r="F68" s="5"/>
      <c r="G68" s="17"/>
      <c r="H68" s="4" t="s">
        <v>30</v>
      </c>
    </row>
    <row r="69" spans="1:8" s="4" customFormat="1" x14ac:dyDescent="0.25">
      <c r="D69" s="6">
        <v>2.0833333333333332E-2</v>
      </c>
      <c r="F69" s="5"/>
      <c r="H69" s="4" t="s">
        <v>45</v>
      </c>
    </row>
    <row r="70" spans="1:8" s="4" customFormat="1" x14ac:dyDescent="0.25">
      <c r="D70" s="6">
        <v>4.1666666666666664E-2</v>
      </c>
      <c r="F70" s="5"/>
      <c r="H70" s="4" t="s">
        <v>54</v>
      </c>
    </row>
    <row r="71" spans="1:8" s="4" customFormat="1" x14ac:dyDescent="0.25">
      <c r="D71" s="6">
        <v>6.25E-2</v>
      </c>
      <c r="F71" s="5"/>
      <c r="H71" s="4" t="s">
        <v>41</v>
      </c>
    </row>
    <row r="72" spans="1:8" s="4" customFormat="1" x14ac:dyDescent="0.25">
      <c r="A72" s="4" t="s">
        <v>3</v>
      </c>
      <c r="D72" s="6">
        <v>8.3333333333333329E-2</v>
      </c>
      <c r="F72" s="5"/>
      <c r="H72" s="4" t="s">
        <v>42</v>
      </c>
    </row>
    <row r="73" spans="1:8" s="4" customFormat="1" x14ac:dyDescent="0.25">
      <c r="A73" s="6">
        <v>4.1666666666666664E-2</v>
      </c>
      <c r="F73" s="5"/>
      <c r="H73" s="4" t="s">
        <v>31</v>
      </c>
    </row>
    <row r="74" spans="1:8" s="4" customFormat="1" x14ac:dyDescent="0.25">
      <c r="A74" s="6">
        <v>8.3333333333333329E-2</v>
      </c>
      <c r="B74" s="4" t="s">
        <v>0</v>
      </c>
      <c r="C74" s="4" t="s">
        <v>62</v>
      </c>
      <c r="F74" s="5"/>
      <c r="H74" s="4" t="s">
        <v>40</v>
      </c>
    </row>
    <row r="75" spans="1:8" s="4" customFormat="1" x14ac:dyDescent="0.25">
      <c r="A75" s="6">
        <v>0.125</v>
      </c>
      <c r="B75" s="4" t="s">
        <v>21</v>
      </c>
      <c r="C75" s="4">
        <v>2022</v>
      </c>
      <c r="E75" s="6"/>
      <c r="F75" s="4" t="s">
        <v>14</v>
      </c>
      <c r="G75" s="5">
        <f>F76</f>
        <v>1.5625</v>
      </c>
      <c r="H75" s="4" t="s">
        <v>46</v>
      </c>
    </row>
    <row r="76" spans="1:8" s="4" customFormat="1" x14ac:dyDescent="0.25">
      <c r="A76" s="6">
        <v>0.16666666666666699</v>
      </c>
      <c r="B76" s="4" t="s">
        <v>20</v>
      </c>
      <c r="C76" s="4">
        <v>2023</v>
      </c>
      <c r="E76" s="6"/>
      <c r="F76" s="7">
        <v>1.5625</v>
      </c>
      <c r="H76" s="4" t="s">
        <v>55</v>
      </c>
    </row>
    <row r="77" spans="1:8" s="4" customFormat="1" x14ac:dyDescent="0.25">
      <c r="A77" s="6">
        <v>0.20833333333333401</v>
      </c>
      <c r="C77" s="4">
        <v>2024</v>
      </c>
      <c r="E77" s="6"/>
      <c r="F77" s="4" t="s">
        <v>15</v>
      </c>
      <c r="G77" s="5">
        <f t="shared" ref="G77" si="0">F78</f>
        <v>0.83333333333333337</v>
      </c>
      <c r="H77" s="4" t="s">
        <v>27</v>
      </c>
    </row>
    <row r="78" spans="1:8" s="4" customFormat="1" x14ac:dyDescent="0.25">
      <c r="A78" s="6">
        <v>0.25</v>
      </c>
      <c r="B78" s="4" t="s">
        <v>63</v>
      </c>
      <c r="C78" s="4">
        <v>2025</v>
      </c>
      <c r="E78" s="6"/>
      <c r="F78" s="7">
        <v>0.83333333333333337</v>
      </c>
      <c r="H78" s="4" t="s">
        <v>56</v>
      </c>
    </row>
    <row r="79" spans="1:8" s="4" customFormat="1" x14ac:dyDescent="0.25">
      <c r="A79" s="6">
        <v>0.29166666666666702</v>
      </c>
      <c r="B79" s="4">
        <v>1</v>
      </c>
      <c r="C79" s="4">
        <v>2026</v>
      </c>
      <c r="E79" s="6"/>
      <c r="H79" s="4" t="s">
        <v>32</v>
      </c>
    </row>
    <row r="80" spans="1:8" s="4" customFormat="1" x14ac:dyDescent="0.25">
      <c r="A80" s="6">
        <v>0.33333333333333398</v>
      </c>
      <c r="B80" s="4">
        <v>2</v>
      </c>
      <c r="C80" s="4">
        <v>2027</v>
      </c>
      <c r="E80" s="6"/>
      <c r="H80" s="4" t="s">
        <v>38</v>
      </c>
    </row>
    <row r="81" spans="1:8" s="4" customFormat="1" x14ac:dyDescent="0.25">
      <c r="A81" s="6">
        <v>0.375000000000001</v>
      </c>
      <c r="C81" s="4">
        <v>2028</v>
      </c>
      <c r="E81" s="6"/>
      <c r="H81" s="4" t="s">
        <v>57</v>
      </c>
    </row>
    <row r="82" spans="1:8" s="4" customFormat="1" x14ac:dyDescent="0.25">
      <c r="A82" s="6">
        <v>0.41666666666666802</v>
      </c>
      <c r="C82" s="4">
        <v>2029</v>
      </c>
      <c r="E82" s="6"/>
      <c r="H82" s="4" t="s">
        <v>34</v>
      </c>
    </row>
    <row r="83" spans="1:8" s="4" customFormat="1" x14ac:dyDescent="0.25">
      <c r="A83" s="6">
        <v>0.45833333333333498</v>
      </c>
      <c r="C83" s="4">
        <v>2030</v>
      </c>
      <c r="E83" s="6"/>
      <c r="H83" s="4" t="s">
        <v>29</v>
      </c>
    </row>
    <row r="84" spans="1:8" s="4" customFormat="1" x14ac:dyDescent="0.25">
      <c r="A84" s="6">
        <v>0.500000000000002</v>
      </c>
      <c r="E84" s="6"/>
      <c r="H84" s="4" t="s">
        <v>39</v>
      </c>
    </row>
    <row r="85" spans="1:8" s="4" customFormat="1" x14ac:dyDescent="0.25">
      <c r="E85" s="6"/>
      <c r="H85" s="4" t="s">
        <v>36</v>
      </c>
    </row>
    <row r="86" spans="1:8" s="4" customFormat="1" x14ac:dyDescent="0.25">
      <c r="A86" s="4" t="s">
        <v>4</v>
      </c>
      <c r="B86" s="4" t="s">
        <v>5</v>
      </c>
      <c r="C86" s="4" t="s">
        <v>22</v>
      </c>
      <c r="D86" s="4" t="s">
        <v>9</v>
      </c>
      <c r="E86" s="6"/>
      <c r="F86" s="4" t="s">
        <v>47</v>
      </c>
      <c r="H86" s="4" t="s">
        <v>58</v>
      </c>
    </row>
    <row r="87" spans="1:8" s="4" customFormat="1" x14ac:dyDescent="0.25">
      <c r="A87" s="6">
        <v>0.35416666666666669</v>
      </c>
      <c r="B87" s="6">
        <v>0.375</v>
      </c>
      <c r="C87" s="4" t="s">
        <v>1</v>
      </c>
      <c r="D87" s="4" t="s">
        <v>11</v>
      </c>
      <c r="E87" s="6"/>
      <c r="F87" s="4" t="s">
        <v>49</v>
      </c>
      <c r="H87" s="4" t="s">
        <v>33</v>
      </c>
    </row>
    <row r="88" spans="1:8" s="4" customFormat="1" x14ac:dyDescent="0.25">
      <c r="A88" s="6">
        <v>0.375</v>
      </c>
      <c r="B88" s="6">
        <v>0.39583333333333331</v>
      </c>
      <c r="C88" s="4" t="s">
        <v>6</v>
      </c>
      <c r="D88" s="4" t="s">
        <v>12</v>
      </c>
      <c r="E88" s="6"/>
      <c r="F88" s="4" t="s">
        <v>50</v>
      </c>
      <c r="H88" s="4" t="s">
        <v>37</v>
      </c>
    </row>
    <row r="89" spans="1:8" s="4" customFormat="1" x14ac:dyDescent="0.25">
      <c r="A89" s="6">
        <v>0.39583333333333331</v>
      </c>
      <c r="B89" s="6">
        <v>0.41666666666666669</v>
      </c>
      <c r="C89" s="4" t="s">
        <v>7</v>
      </c>
      <c r="D89" s="4" t="s">
        <v>13</v>
      </c>
      <c r="E89" s="6"/>
      <c r="F89" s="4" t="s">
        <v>51</v>
      </c>
      <c r="H89" s="4" t="s">
        <v>35</v>
      </c>
    </row>
    <row r="90" spans="1:8" s="4" customFormat="1" x14ac:dyDescent="0.25">
      <c r="A90" s="6">
        <v>0.41666666666666669</v>
      </c>
      <c r="B90" s="6">
        <v>0.4375</v>
      </c>
      <c r="C90" s="4" t="s">
        <v>8</v>
      </c>
      <c r="D90" s="4" t="s">
        <v>52</v>
      </c>
      <c r="E90" s="6"/>
      <c r="H90" s="4" t="s">
        <v>59</v>
      </c>
    </row>
    <row r="91" spans="1:8" s="4" customFormat="1" x14ac:dyDescent="0.25">
      <c r="A91" s="6">
        <v>0.4375</v>
      </c>
      <c r="B91" s="6">
        <v>0.45833333333333398</v>
      </c>
      <c r="C91" s="4" t="s">
        <v>2</v>
      </c>
      <c r="D91" s="4" t="s">
        <v>10</v>
      </c>
      <c r="E91" s="6"/>
      <c r="H91" s="4" t="s">
        <v>44</v>
      </c>
    </row>
    <row r="92" spans="1:8" s="4" customFormat="1" x14ac:dyDescent="0.25">
      <c r="A92" s="6">
        <v>0.45833333333333398</v>
      </c>
      <c r="B92" s="6">
        <v>0.47916666666666702</v>
      </c>
      <c r="D92" s="4" t="s">
        <v>23</v>
      </c>
      <c r="E92" s="6"/>
      <c r="H92" s="4" t="s">
        <v>43</v>
      </c>
    </row>
    <row r="93" spans="1:8" s="4" customFormat="1" x14ac:dyDescent="0.25">
      <c r="A93" s="6">
        <v>0.47916666666666702</v>
      </c>
      <c r="B93" s="6">
        <v>0.5</v>
      </c>
      <c r="D93" s="4" t="s">
        <v>24</v>
      </c>
      <c r="E93" s="6"/>
    </row>
    <row r="94" spans="1:8" s="4" customFormat="1" x14ac:dyDescent="0.25">
      <c r="A94" s="6">
        <v>0.5</v>
      </c>
      <c r="B94" s="6">
        <v>0.52083333333333304</v>
      </c>
      <c r="D94" s="4" t="s">
        <v>26</v>
      </c>
      <c r="E94" s="6"/>
    </row>
    <row r="95" spans="1:8" s="4" customFormat="1" x14ac:dyDescent="0.25">
      <c r="A95" s="6">
        <v>0.66666666666666663</v>
      </c>
      <c r="B95" s="6">
        <v>0.54166666666666596</v>
      </c>
      <c r="D95" s="4" t="s">
        <v>25</v>
      </c>
      <c r="E95" s="6"/>
    </row>
    <row r="96" spans="1:8" s="4" customFormat="1" x14ac:dyDescent="0.25">
      <c r="A96" s="6">
        <v>0.6875</v>
      </c>
      <c r="B96" s="6">
        <v>0.562499999999999</v>
      </c>
    </row>
    <row r="97" spans="1:7" s="4" customFormat="1" x14ac:dyDescent="0.25">
      <c r="A97" s="6">
        <v>0.70833333333333337</v>
      </c>
      <c r="B97" s="6">
        <v>0.58333333333333204</v>
      </c>
    </row>
    <row r="98" spans="1:7" s="4" customFormat="1" x14ac:dyDescent="0.25">
      <c r="A98" s="6">
        <v>0.72916666666666696</v>
      </c>
      <c r="B98" s="6">
        <v>0.60416666666666496</v>
      </c>
      <c r="D98" s="4" t="s">
        <v>16</v>
      </c>
    </row>
    <row r="99" spans="1:7" s="4" customFormat="1" x14ac:dyDescent="0.25">
      <c r="A99" s="6">
        <v>0.75</v>
      </c>
      <c r="B99" s="6">
        <v>0.624999999999998</v>
      </c>
      <c r="D99" s="4" t="s">
        <v>18</v>
      </c>
    </row>
    <row r="100" spans="1:7" s="4" customFormat="1" x14ac:dyDescent="0.25">
      <c r="A100" s="6">
        <v>0.77083333333333404</v>
      </c>
      <c r="B100" s="6">
        <v>0.64583333333333104</v>
      </c>
      <c r="D100" s="4" t="s">
        <v>17</v>
      </c>
    </row>
    <row r="101" spans="1:7" s="4" customFormat="1" x14ac:dyDescent="0.25">
      <c r="A101" s="6">
        <v>0.79166666666666696</v>
      </c>
      <c r="B101" s="6">
        <v>0.66666666666666397</v>
      </c>
    </row>
    <row r="102" spans="1:7" s="4" customFormat="1" x14ac:dyDescent="0.25">
      <c r="B102" s="6">
        <v>0.6875</v>
      </c>
    </row>
    <row r="103" spans="1:7" s="4" customFormat="1" x14ac:dyDescent="0.25">
      <c r="B103" s="6">
        <v>0.70833333333333337</v>
      </c>
      <c r="G103" s="4" t="s">
        <v>66</v>
      </c>
    </row>
    <row r="104" spans="1:7" s="4" customFormat="1" x14ac:dyDescent="0.25">
      <c r="B104" s="6">
        <v>0.72916666666666696</v>
      </c>
      <c r="D104" s="4" t="s">
        <v>61</v>
      </c>
      <c r="E104" s="4" t="s">
        <v>64</v>
      </c>
      <c r="F104" s="4" t="s">
        <v>65</v>
      </c>
      <c r="G104" s="4" t="s">
        <v>67</v>
      </c>
    </row>
    <row r="105" spans="1:7" s="4" customFormat="1" x14ac:dyDescent="0.25">
      <c r="B105" s="6">
        <v>0.75</v>
      </c>
      <c r="D105" s="4">
        <v>200</v>
      </c>
      <c r="E105" s="4" t="s">
        <v>1</v>
      </c>
      <c r="F105" s="23">
        <v>1</v>
      </c>
      <c r="G105" s="4" t="s">
        <v>68</v>
      </c>
    </row>
    <row r="106" spans="1:7" s="4" customFormat="1" x14ac:dyDescent="0.25">
      <c r="B106" s="6">
        <v>0.77083333333333404</v>
      </c>
      <c r="D106" s="4">
        <v>250</v>
      </c>
      <c r="E106" s="4" t="s">
        <v>6</v>
      </c>
      <c r="F106" s="23">
        <v>2</v>
      </c>
      <c r="G106" s="4" t="s">
        <v>69</v>
      </c>
    </row>
    <row r="107" spans="1:7" s="4" customFormat="1" x14ac:dyDescent="0.25">
      <c r="B107" s="6">
        <v>0.79166666666666696</v>
      </c>
      <c r="D107" s="4">
        <v>300</v>
      </c>
      <c r="E107" s="4" t="s">
        <v>7</v>
      </c>
      <c r="F107" s="23">
        <v>3</v>
      </c>
      <c r="G107" s="4" t="s">
        <v>70</v>
      </c>
    </row>
    <row r="108" spans="1:7" s="4" customFormat="1" x14ac:dyDescent="0.25">
      <c r="B108" s="6">
        <v>0.812500000000001</v>
      </c>
      <c r="D108" s="4">
        <v>350</v>
      </c>
      <c r="E108" s="4" t="s">
        <v>8</v>
      </c>
      <c r="F108" s="23">
        <v>4</v>
      </c>
      <c r="G108" s="4" t="s">
        <v>71</v>
      </c>
    </row>
    <row r="109" spans="1:7" s="4" customFormat="1" x14ac:dyDescent="0.25">
      <c r="A109" s="4" t="s">
        <v>99</v>
      </c>
      <c r="D109" s="4">
        <v>400</v>
      </c>
      <c r="E109" s="4" t="s">
        <v>2</v>
      </c>
      <c r="G109" s="4" t="s">
        <v>73</v>
      </c>
    </row>
    <row r="110" spans="1:7" s="4" customFormat="1" x14ac:dyDescent="0.25">
      <c r="A110" s="41">
        <v>4</v>
      </c>
      <c r="G110" s="4" t="s">
        <v>72</v>
      </c>
    </row>
    <row r="111" spans="1:7" s="4" customFormat="1" x14ac:dyDescent="0.25">
      <c r="A111" s="41">
        <v>3</v>
      </c>
      <c r="G111" s="4" t="s">
        <v>74</v>
      </c>
    </row>
    <row r="112" spans="1:7" s="4" customFormat="1" x14ac:dyDescent="0.25">
      <c r="A112" s="41">
        <v>2</v>
      </c>
      <c r="G112" s="4" t="s">
        <v>75</v>
      </c>
    </row>
    <row r="113" spans="1:7" s="4" customFormat="1" x14ac:dyDescent="0.25">
      <c r="A113" s="41">
        <v>1</v>
      </c>
      <c r="G113" s="4" t="s">
        <v>76</v>
      </c>
    </row>
    <row r="114" spans="1:7" s="4" customFormat="1" x14ac:dyDescent="0.25">
      <c r="A114" s="41"/>
    </row>
    <row r="115" spans="1:7" s="4" customFormat="1" x14ac:dyDescent="0.25"/>
    <row r="116" spans="1:7" s="4" customFormat="1" x14ac:dyDescent="0.25"/>
    <row r="117" spans="1:7" s="4" customFormat="1" x14ac:dyDescent="0.25"/>
    <row r="118" spans="1:7" s="4" customFormat="1" x14ac:dyDescent="0.25"/>
    <row r="119" spans="1:7" s="4" customFormat="1" x14ac:dyDescent="0.25"/>
    <row r="120" spans="1:7" s="4" customFormat="1" x14ac:dyDescent="0.25"/>
    <row r="121" spans="1:7" s="4" customFormat="1" x14ac:dyDescent="0.25"/>
    <row r="122" spans="1:7" s="4" customFormat="1" x14ac:dyDescent="0.25"/>
    <row r="123" spans="1:7" s="4" customFormat="1" x14ac:dyDescent="0.25"/>
    <row r="124" spans="1:7" s="4" customFormat="1" x14ac:dyDescent="0.25"/>
    <row r="125" spans="1:7" s="4" customFormat="1" x14ac:dyDescent="0.25"/>
    <row r="126" spans="1:7" s="4" customFormat="1" x14ac:dyDescent="0.25"/>
    <row r="127" spans="1:7" s="4" customFormat="1" x14ac:dyDescent="0.25"/>
    <row r="128" spans="1:7" s="4" customFormat="1" x14ac:dyDescent="0.25"/>
    <row r="129" s="4" customFormat="1" x14ac:dyDescent="0.25"/>
    <row r="130" s="4" customFormat="1" x14ac:dyDescent="0.25"/>
    <row r="131" s="4" customFormat="1" x14ac:dyDescent="0.25"/>
    <row r="132" s="4" customFormat="1" x14ac:dyDescent="0.25"/>
    <row r="133" s="4" customFormat="1" x14ac:dyDescent="0.25"/>
    <row r="134" s="4" customFormat="1" x14ac:dyDescent="0.25"/>
    <row r="135" s="4" customFormat="1" x14ac:dyDescent="0.25"/>
    <row r="136" s="4" customFormat="1" x14ac:dyDescent="0.25"/>
    <row r="137" s="4" customFormat="1" x14ac:dyDescent="0.25"/>
    <row r="138" s="4" customFormat="1" x14ac:dyDescent="0.25"/>
    <row r="139" s="4" customFormat="1" x14ac:dyDescent="0.25"/>
    <row r="140" s="4" customFormat="1" x14ac:dyDescent="0.25"/>
    <row r="141" s="4" customFormat="1" x14ac:dyDescent="0.25"/>
    <row r="142" s="4" customFormat="1" x14ac:dyDescent="0.25"/>
    <row r="143" s="4" customFormat="1" x14ac:dyDescent="0.25"/>
    <row r="144" s="4" customFormat="1" x14ac:dyDescent="0.25"/>
    <row r="145" s="4" customFormat="1" x14ac:dyDescent="0.25"/>
    <row r="146" s="4" customFormat="1" x14ac:dyDescent="0.25"/>
    <row r="147" s="4" customFormat="1" x14ac:dyDescent="0.25"/>
    <row r="148" s="4" customFormat="1" x14ac:dyDescent="0.25"/>
    <row r="149" s="4" customFormat="1" x14ac:dyDescent="0.25"/>
    <row r="150" s="4" customFormat="1" x14ac:dyDescent="0.25"/>
    <row r="151" s="4" customFormat="1" x14ac:dyDescent="0.25"/>
    <row r="152" s="4" customFormat="1" x14ac:dyDescent="0.25"/>
    <row r="153" s="4" customFormat="1" x14ac:dyDescent="0.25"/>
    <row r="154" s="4" customFormat="1" x14ac:dyDescent="0.25"/>
    <row r="155" s="4" customFormat="1" x14ac:dyDescent="0.25"/>
    <row r="156" s="4" customFormat="1" x14ac:dyDescent="0.25"/>
    <row r="157" s="4" customFormat="1" x14ac:dyDescent="0.25"/>
    <row r="158" s="4" customFormat="1" x14ac:dyDescent="0.25"/>
    <row r="159" s="4" customFormat="1" x14ac:dyDescent="0.25"/>
    <row r="160" s="4" customFormat="1" x14ac:dyDescent="0.25"/>
  </sheetData>
  <sheetProtection insertColumns="0" insertRows="0" deleteColumns="0" deleteRows="0"/>
  <sortState xmlns:xlrd2="http://schemas.microsoft.com/office/spreadsheetml/2017/richdata2" ref="G78:G97">
    <sortCondition ref="G113"/>
  </sortState>
  <mergeCells count="98">
    <mergeCell ref="A47:B47"/>
    <mergeCell ref="A56:E56"/>
    <mergeCell ref="A51:B51"/>
    <mergeCell ref="D51:F51"/>
    <mergeCell ref="A1:F1"/>
    <mergeCell ref="A2:F2"/>
    <mergeCell ref="A3:F3"/>
    <mergeCell ref="E7:F7"/>
    <mergeCell ref="B7:C7"/>
    <mergeCell ref="A4:F4"/>
    <mergeCell ref="E8:F8"/>
    <mergeCell ref="A14:F14"/>
    <mergeCell ref="A12:F12"/>
    <mergeCell ref="A6:B6"/>
    <mergeCell ref="C6:F6"/>
    <mergeCell ref="E21:F21"/>
    <mergeCell ref="A66:F66"/>
    <mergeCell ref="B58:F58"/>
    <mergeCell ref="B8:C8"/>
    <mergeCell ref="A63:B63"/>
    <mergeCell ref="D63:F63"/>
    <mergeCell ref="A16:B16"/>
    <mergeCell ref="A17:B17"/>
    <mergeCell ref="A15:B15"/>
    <mergeCell ref="C26:D26"/>
    <mergeCell ref="E26:F26"/>
    <mergeCell ref="A21:B21"/>
    <mergeCell ref="A22:B22"/>
    <mergeCell ref="A23:B23"/>
    <mergeCell ref="A24:B24"/>
    <mergeCell ref="A25:B25"/>
    <mergeCell ref="C21:D21"/>
    <mergeCell ref="C22:D22"/>
    <mergeCell ref="E22:F22"/>
    <mergeCell ref="C23:D23"/>
    <mergeCell ref="E23:F23"/>
    <mergeCell ref="C18:D18"/>
    <mergeCell ref="E18:F18"/>
    <mergeCell ref="C19:D19"/>
    <mergeCell ref="E19:F19"/>
    <mergeCell ref="C20:D20"/>
    <mergeCell ref="E20:F20"/>
    <mergeCell ref="C15:D15"/>
    <mergeCell ref="E15:F15"/>
    <mergeCell ref="C16:D16"/>
    <mergeCell ref="E16:F16"/>
    <mergeCell ref="C17:D17"/>
    <mergeCell ref="E17:F17"/>
    <mergeCell ref="A18:B18"/>
    <mergeCell ref="A19:B19"/>
    <mergeCell ref="A20:B20"/>
    <mergeCell ref="A33:B33"/>
    <mergeCell ref="A34:B34"/>
    <mergeCell ref="A31:B31"/>
    <mergeCell ref="A32:B32"/>
    <mergeCell ref="A28:F28"/>
    <mergeCell ref="A29:B29"/>
    <mergeCell ref="A30:B30"/>
    <mergeCell ref="C24:D24"/>
    <mergeCell ref="E24:F24"/>
    <mergeCell ref="C25:D25"/>
    <mergeCell ref="E25:F25"/>
    <mergeCell ref="A26:B26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D38:F38"/>
    <mergeCell ref="A37:B37"/>
    <mergeCell ref="A38:B38"/>
    <mergeCell ref="A35:B35"/>
    <mergeCell ref="A36:B36"/>
    <mergeCell ref="D42:F42"/>
    <mergeCell ref="A43:B43"/>
    <mergeCell ref="D43:F43"/>
    <mergeCell ref="A44:B44"/>
    <mergeCell ref="D44:F44"/>
    <mergeCell ref="B60:F60"/>
    <mergeCell ref="C65:D65"/>
    <mergeCell ref="A40:F40"/>
    <mergeCell ref="A41:B41"/>
    <mergeCell ref="D41:F41"/>
    <mergeCell ref="A49:B49"/>
    <mergeCell ref="D49:F49"/>
    <mergeCell ref="A50:B50"/>
    <mergeCell ref="D50:F50"/>
    <mergeCell ref="A45:B45"/>
    <mergeCell ref="D45:F45"/>
    <mergeCell ref="A46:B46"/>
    <mergeCell ref="D46:F46"/>
    <mergeCell ref="A48:B48"/>
    <mergeCell ref="D48:F48"/>
    <mergeCell ref="A42:B42"/>
  </mergeCells>
  <dataValidations count="4">
    <dataValidation type="list" allowBlank="1" showInputMessage="1" showErrorMessage="1" sqref="B9" xr:uid="{00000000-0002-0000-0000-000000000000}">
      <formula1>Semestre</formula1>
    </dataValidation>
    <dataValidation type="list" allowBlank="1" showInputMessage="1" showErrorMessage="1" sqref="D9" xr:uid="{00000000-0002-0000-0000-000001000000}">
      <formula1>Año</formula1>
    </dataValidation>
    <dataValidation type="list" allowBlank="1" showInputMessage="1" showErrorMessage="1" sqref="E7:F7" xr:uid="{00000000-0002-0000-0000-000002000000}">
      <formula1>$H$67:$H$92</formula1>
    </dataValidation>
    <dataValidation type="list" allowBlank="1" showInputMessage="1" showErrorMessage="1" sqref="C30:C37 C42:C50" xr:uid="{00000000-0002-0000-0000-000003000000}">
      <formula1>$A$110:$A$114</formula1>
    </dataValidation>
  </dataValidations>
  <pageMargins left="0.21" right="0.21" top="0.19685039370078741" bottom="0.11811023622047245" header="0.11811023622047245" footer="0.11811023622047245"/>
  <pageSetup paperSize="9" orientation="portrait" r:id="rId1"/>
  <headerFooter>
    <oddFooter>&amp;R&amp;P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Hoja 1</vt:lpstr>
      <vt:lpstr>Año</vt:lpstr>
      <vt:lpstr>Carga</vt:lpstr>
      <vt:lpstr>Menú_de_horas</vt:lpstr>
      <vt:lpstr>Menú_de_horas_3</vt:lpstr>
      <vt:lpstr>Menú_de_inicio</vt:lpstr>
      <vt:lpstr>Menú_fin</vt:lpstr>
      <vt:lpstr>Nivel</vt:lpstr>
      <vt:lpstr>'Hoja 1'!Print_Area</vt:lpstr>
      <vt:lpstr>Profesor_Asistente</vt:lpstr>
      <vt:lpstr>Semestre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Marcio A. Paredes</dc:creator>
  <cp:lastModifiedBy>JOSE ANTONIO FAVIAN YUJRA YANA</cp:lastModifiedBy>
  <cp:lastPrinted>2022-08-05T15:40:47Z</cp:lastPrinted>
  <dcterms:created xsi:type="dcterms:W3CDTF">2014-09-10T13:27:07Z</dcterms:created>
  <dcterms:modified xsi:type="dcterms:W3CDTF">2025-12-09T03:33:58Z</dcterms:modified>
</cp:coreProperties>
</file>